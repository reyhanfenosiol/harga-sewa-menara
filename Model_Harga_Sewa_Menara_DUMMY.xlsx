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BACA_SAYA" sheetId="1" state="visible" r:id="rId3"/>
    <sheet name="01_ASUMSI" sheetId="2" state="visible" r:id="rId4"/>
    <sheet name="02_MASTER_UNIT" sheetId="3" state="visible" r:id="rId5"/>
    <sheet name="03_FAKTOR" sheetId="4" state="visible" r:id="rId6"/>
    <sheet name="04_KALKULASI" sheetId="5" state="visible" r:id="rId7"/>
    <sheet name="05_PEMBANDING" sheetId="6" state="visible" r:id="rId8"/>
    <sheet name="06_UJI_KELAYAKAN" sheetId="7" state="visible" r:id="rId9"/>
    <sheet name="07_NER_INSENTIF" sheetId="8" state="visible" r:id="rId10"/>
    <sheet name="08_SENSITIVITAS" sheetId="9" state="visible" r:id="rId11"/>
    <sheet name="09_RINGKASAN" sheetId="10" state="visible" r:id="rId12"/>
    <sheet name="10_KAMUS_DATA" sheetId="11" state="visible" r:id="rId13"/>
    <sheet name="11_SUMBER" sheetId="12" state="visible" r:id="rId14"/>
  </sheets>
  <definedNames>
    <definedName function="false" hidden="true" localSheetId="2" name="_xlnm._FilterDatabase" vbProcedure="false">02_MASTER_UNIT!$A$4:$K$68</definedName>
    <definedName function="false" hidden="true" localSheetId="4" name="_xlnm._FilterDatabase" vbProcedure="false">04_KALKULASI!$A$8:$AB$72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<sst xmlns="http://schemas.openxmlformats.org/spreadsheetml/2006/main" count="1246" uniqueCount="691">
  <si>
    <t xml:space="preserve">MODEL PENETAPAN HARGA SEWA GEDUNG MENARA</t>
  </si>
  <si>
    <t xml:space="preserve">Menara Nusantara — versi 1.0 — 2026-08-23</t>
  </si>
  <si>
    <t xml:space="preserve">PERINGATAN</t>
  </si>
  <si>
    <t xml:space="preserve">SELURUH ANGKA DALAM BERKAS INI ADALAH DATA KARANGAN (DUMMY). Angka disusun agar menyerupai kondisi pasar Jakarta pertengahan 2026, tetapi tidak mewakili gedung nyata mana pun. Ganti dengan data Anda sendiri.</t>
  </si>
  <si>
    <t xml:space="preserve">LEGENDA WARNA</t>
  </si>
  <si>
    <t xml:space="preserve">Teks BIRU</t>
  </si>
  <si>
    <t xml:space="preserve">Angka yang Anda masukkan sendiri. BOLEH diubah.</t>
  </si>
  <si>
    <t xml:space="preserve">Latar KUNING</t>
  </si>
  <si>
    <t xml:space="preserve">Asumsi kunci yang wajib ditinjau setiap kuartal. BOLEH diubah.</t>
  </si>
  <si>
    <t xml:space="preserve">Teks HITAM</t>
  </si>
  <si>
    <t xml:space="preserve">Hasil rumus di lembar yang sama. JANGAN diubah.</t>
  </si>
  <si>
    <t xml:space="preserve">Teks HIJAU</t>
  </si>
  <si>
    <t xml:space="preserve">Rumus yang mengambil nilai dari lembar lain. JANGAN diubah.</t>
  </si>
  <si>
    <t xml:space="preserve">ATURAN TUNGGAL TERPENTING</t>
  </si>
  <si>
    <t xml:space="preserve">Bila sebuah sel berwarna HITAM atau HIJAU, jangan diketik ulang. Mengganti rumus dengan angka adalah cara tercepat merusak model, dan kerusakannya tidak terlihat sampai berbulan-bulan kemudian.</t>
  </si>
  <si>
    <t xml:space="preserve">URUTAN PENGISIAN</t>
  </si>
  <si>
    <t xml:space="preserve">Langkah 1</t>
  </si>
  <si>
    <t xml:space="preserve">Buka 01_ASUMSI. Isi identitas gedung, NLA, dan standar pengukuran.</t>
  </si>
  <si>
    <t xml:space="preserve">Langkah 2</t>
  </si>
  <si>
    <t xml:space="preserve">Buka 05_PEMBANDING. Ganti data pembanding dengan gedung pesaing Anda. Minimal 4, idealnya 6–8, seluruhnya berusia di bawah 6 bulan.</t>
  </si>
  <si>
    <t xml:space="preserve">Langkah 3</t>
  </si>
  <si>
    <t xml:space="preserve">Buka 06_UJI_KELAYAKAN. Periksa apakah tarif hasil model masuk akal. Isi data keuangan di 01_ASUMSI bila belum.</t>
  </si>
  <si>
    <t xml:space="preserve">Langkah 4</t>
  </si>
  <si>
    <t xml:space="preserve">Buka 02_MASTER_UNIT. Ganti daftar unit dengan data gedung Anda. Seluruh kolom bertanda * wajib diisi.</t>
  </si>
  <si>
    <t xml:space="preserve">Langkah 5</t>
  </si>
  <si>
    <t xml:space="preserve">Buka 03_FAKTOR. Setel besaran premi. WAJIB dikalibrasi dengan data setempat sebelum dipakai untuk keputusan nyata.</t>
  </si>
  <si>
    <t xml:space="preserve">Langkah 6</t>
  </si>
  <si>
    <t xml:space="preserve">Buka 09_RINGKASAN. Pastikan sembilan pemeriksaan mutu seluruhnya LULUS.</t>
  </si>
  <si>
    <t xml:space="preserve">Langkah 7</t>
  </si>
  <si>
    <t xml:space="preserve">Bila seluruh pemeriksaan lulus, ambil kolom 'R publikasi' pada 04_KALKULASI sebagai daftar harga resmi.</t>
  </si>
  <si>
    <t xml:space="preserve">Langkah 8</t>
  </si>
  <si>
    <t xml:space="preserve">Simpan berkas dengan nama bertanggal. JANGAN menimpa versi sebelumnya.</t>
  </si>
  <si>
    <t xml:space="preserve">DAFTAR LEMBAR</t>
  </si>
  <si>
    <t xml:space="preserve">01_ASUMSI</t>
  </si>
  <si>
    <t xml:space="preserve">Seluruh parameter model. Hanya lembar ini yang diubah rutin.</t>
  </si>
  <si>
    <t xml:space="preserve">02_MASTER_UNIT</t>
  </si>
  <si>
    <t xml:space="preserve">Daftar unit dan atributnya.</t>
  </si>
  <si>
    <t xml:space="preserve">03_FAKTOR</t>
  </si>
  <si>
    <t xml:space="preserve">Tabel acuan seluruh faktor pengali.</t>
  </si>
  <si>
    <t xml:space="preserve">04_KALKULASI</t>
  </si>
  <si>
    <t xml:space="preserve">Mesin perhitungan tarif per unit. JANGAN DIUBAH.</t>
  </si>
  <si>
    <t xml:space="preserve">05_PEMBANDING</t>
  </si>
  <si>
    <t xml:space="preserve">Grid penyesuaian data pembanding pasar.</t>
  </si>
  <si>
    <t xml:space="preserve">06_UJI_KELAYAKAN</t>
  </si>
  <si>
    <t xml:space="preserve">Pendekatan pendapatan, titik impas, dan pagar pengaman.</t>
  </si>
  <si>
    <t xml:space="preserve">07_NER_INSENTIF</t>
  </si>
  <si>
    <t xml:space="preserve">Sewa efektif bersih dan batas insentif per unit.</t>
  </si>
  <si>
    <t xml:space="preserve">08_SENSITIVITAS</t>
  </si>
  <si>
    <t xml:space="preserve">Tabel sensitivitas, skenario, dan proyeksi lima tahun.</t>
  </si>
  <si>
    <t xml:space="preserve">09_RINGKASAN</t>
  </si>
  <si>
    <t xml:space="preserve">Papan pantau dan sembilan pemeriksaan mutu.</t>
  </si>
  <si>
    <t xml:space="preserve">10_KAMUS_DATA</t>
  </si>
  <si>
    <t xml:space="preserve">Definisi setiap kolom dan satuannya.</t>
  </si>
  <si>
    <t xml:space="preserve">11_SUMBER</t>
  </si>
  <si>
    <t xml:space="preserve">Seluruh rujukan dan tautan sumber.</t>
  </si>
  <si>
    <t xml:space="preserve">PEMBATASAN PENGGUNAAN</t>
  </si>
  <si>
    <t xml:space="preserve">Berkas ini adalah alat bantu analisis internal, bukan laporan penilaian resmi. Untuk keperluan yang mengikat secara hukum — jaminan utang, pelaporan keuangan, transaksi, atau sengketa — hasil model wajib diverifikasi oleh Penilai Publik berizin yang tunduk pada Standar Penilaian Indonesia.</t>
  </si>
  <si>
    <t xml:space="preserve">01 — ASUMSI DAN PARAMETER MODEL</t>
  </si>
  <si>
    <t xml:space="preserve">Hanya lembar ini yang diubah rutin. Sel BIRU = masukan Anda. Sel KUNING = asumsi kunci yang wajib ditinjau tiap kuartal.</t>
  </si>
  <si>
    <t xml:space="preserve">A. IDENTITAS GEDUNG</t>
  </si>
  <si>
    <t xml:space="preserve">Kode gedung</t>
  </si>
  <si>
    <t xml:space="preserve">MNS-01</t>
  </si>
  <si>
    <t xml:space="preserve">Dipakai bila model diperluas ke banyak gedung</t>
  </si>
  <si>
    <t xml:space="preserve">Nama gedung</t>
  </si>
  <si>
    <t xml:space="preserve">Menara Nusantara</t>
  </si>
  <si>
    <t xml:space="preserve">Lokasi</t>
  </si>
  <si>
    <t xml:space="preserve">Jakarta - Luar CBD</t>
  </si>
  <si>
    <t xml:space="preserve">Grade</t>
  </si>
  <si>
    <t xml:space="preserve">A</t>
  </si>
  <si>
    <t xml:space="preserve">Jumlah lantai</t>
  </si>
  <si>
    <t xml:space="preserve">Lantai sewa dimulai dari</t>
  </si>
  <si>
    <t xml:space="preserve">GFA — luas kotor lantai (m2)</t>
  </si>
  <si>
    <t xml:space="preserve">NLA — luas disewakan (m2)</t>
  </si>
  <si>
    <t xml:space="preserve">Dasar seluruh perhitungan tarif</t>
  </si>
  <si>
    <t xml:space="preserve">Standar pengukuran</t>
  </si>
  <si>
    <t xml:space="preserve">ANSI/BOMA Z65.1-2024 Metode B (Faktor Beban Tunggal)</t>
  </si>
  <si>
    <t xml:space="preserve">Sumber: BOMA — boma.org/boma-standards</t>
  </si>
  <si>
    <t xml:space="preserve">Faktor beban (load factor)</t>
  </si>
  <si>
    <t xml:space="preserve">Rumus 3.1</t>
  </si>
  <si>
    <t xml:space="preserve">Rasio efisiensi gedung (NLA/GFA)</t>
  </si>
  <si>
    <t xml:space="preserve">Rumus 3.3 — sehat pada 60%–75%</t>
  </si>
  <si>
    <t xml:space="preserve">B. TARIF DASAR GEDUNG</t>
  </si>
  <si>
    <t xml:space="preserve">Mode penetapan tarif dasar</t>
  </si>
  <si>
    <t xml:space="preserve">OTOMATIS</t>
  </si>
  <si>
    <t xml:space="preserve">OTOMATIS = ikut hasil model di 06. MANUAL = pakai angka di bawah.</t>
  </si>
  <si>
    <t xml:space="preserve">Tarif dasar manual (Rp/m2/bln)</t>
  </si>
  <si>
    <t xml:space="preserve">Hanya dipakai bila mode = MANUAL</t>
  </si>
  <si>
    <t xml:space="preserve">Tarif dasar hasil model (Rp/m2/bln)</t>
  </si>
  <si>
    <t xml:space="preserve">Rumus 7.3 — median dari batas bawah, pasar, batas atas</t>
  </si>
  <si>
    <t xml:space="preserve">TARIF DASAR DIPAKAI  (R*)</t>
  </si>
  <si>
    <t xml:space="preserve">Angka jangkar seluruh model</t>
  </si>
  <si>
    <t xml:space="preserve">Service charge (Rp/m2/bln)</t>
  </si>
  <si>
    <t xml:space="preserve">Acuan pasar desentralisasi Jakarta ~Rp62.000 (Colliers Q2 2026)</t>
  </si>
  <si>
    <t xml:space="preserve">Satuan pembulatan tarif (Rp)</t>
  </si>
  <si>
    <t xml:space="preserve">Rumus 11.3</t>
  </si>
  <si>
    <t xml:space="preserve">Basis kalibrasi</t>
  </si>
  <si>
    <t xml:space="preserve">SELURUH_NLA</t>
  </si>
  <si>
    <t xml:space="preserve">SELURUH_NLA atau UNIT_TERISI — lihat Bab 11.3</t>
  </si>
  <si>
    <t xml:space="preserve">C. PAGAR PENGAMAN HARGA</t>
  </si>
  <si>
    <t xml:space="preserve">phi — toleransi terhadap titik impas</t>
  </si>
  <si>
    <t xml:space="preserve">Rumus 7.1</t>
  </si>
  <si>
    <t xml:space="preserve">delta — diskon maksimum thd pasar</t>
  </si>
  <si>
    <t xml:space="preserve">gamma — premi maksimum thd premium</t>
  </si>
  <si>
    <t xml:space="preserve">Rumus 7.2</t>
  </si>
  <si>
    <t xml:space="preserve">Tarif pembanding premium (Rp/m2/bln)</t>
  </si>
  <si>
    <t xml:space="preserve">Acuan Grade A CBD ~Rp234.000 (Colliers Q2 2026)</t>
  </si>
  <si>
    <t xml:space="preserve">Batas bawah faktor total</t>
  </si>
  <si>
    <t xml:space="preserve">Rumus 8.3</t>
  </si>
  <si>
    <t xml:space="preserve">Batas atas faktor total</t>
  </si>
  <si>
    <t xml:space="preserve">D. FAKTOR LANTAI</t>
  </si>
  <si>
    <t xml:space="preserve">Model faktor lantai yang aktif</t>
  </si>
  <si>
    <t xml:space="preserve">ZONA</t>
  </si>
  <si>
    <t xml:space="preserve">ZONA (Rumus 9.1) atau LOGARITMIK (Rumus 9.2)</t>
  </si>
  <si>
    <t xml:space="preserve">theta — kekuatan premi vertikal</t>
  </si>
  <si>
    <t xml:space="preserve">Wajib dikalibrasi. Lazim 0,04–0,12</t>
  </si>
  <si>
    <t xml:space="preserve">Lantai referensi</t>
  </si>
  <si>
    <t xml:space="preserve">Faktor = 1,0000 di lantai ini</t>
  </si>
  <si>
    <t xml:space="preserve">lambda — parameter pelandaian</t>
  </si>
  <si>
    <t xml:space="preserve">Lazim 3–8</t>
  </si>
  <si>
    <t xml:space="preserve">Porsi pemandangan dlm faktor lantai</t>
  </si>
  <si>
    <t xml:space="preserve">27% — Nase, van Assendelft &amp; Remoy (2019). Mencegah hitung ganda.</t>
  </si>
  <si>
    <t xml:space="preserve">E. FAKTOR UKURAN UNIT</t>
  </si>
  <si>
    <t xml:space="preserve">Luas unit referensi (m2)</t>
  </si>
  <si>
    <t xml:space="preserve">Faktor = 1,0000 pada luas ini</t>
  </si>
  <si>
    <t xml:space="preserve">sigma — kekuatan diskon ukuran</t>
  </si>
  <si>
    <t xml:space="preserve">Rumus 10.3. Lazim 0,02–0,06</t>
  </si>
  <si>
    <t xml:space="preserve">Batas bawah faktor ukuran</t>
  </si>
  <si>
    <t xml:space="preserve">Batas atas faktor ukuran</t>
  </si>
  <si>
    <t xml:space="preserve">F. KEUANGAN GEDUNG</t>
  </si>
  <si>
    <t xml:space="preserve">Nilai aset gedung (Rp)</t>
  </si>
  <si>
    <t xml:space="preserve">Nilai perolehan atau nilai pasar terkini</t>
  </si>
  <si>
    <t xml:space="preserve">Cap rate target</t>
  </si>
  <si>
    <t xml:space="preserve">Rumus 6.4</t>
  </si>
  <si>
    <t xml:space="preserve">Biaya operasional tahunan (Rp)</t>
  </si>
  <si>
    <t xml:space="preserve">Yang ditanggung pemilik</t>
  </si>
  <si>
    <t xml:space="preserve">Pendapatan lain tahunan (Rp)</t>
  </si>
  <si>
    <t xml:space="preserve">Parkir, antena, iklan</t>
  </si>
  <si>
    <t xml:space="preserve">Cadangan belanja modal tahunan (Rp)</t>
  </si>
  <si>
    <t xml:space="preserve">Rumus 6.6</t>
  </si>
  <si>
    <t xml:space="preserve">Cicilan utang tahunan (Rp)</t>
  </si>
  <si>
    <t xml:space="preserve">Okupansi target</t>
  </si>
  <si>
    <t xml:space="preserve">Acuan CBRE: CBD menuju ~78%</t>
  </si>
  <si>
    <t xml:space="preserve">Kerugian penagihan</t>
  </si>
  <si>
    <t xml:space="preserve">Tunggakan dan piutang tak tertagih</t>
  </si>
  <si>
    <t xml:space="preserve">Tingkat diskonto tahunan</t>
  </si>
  <si>
    <t xml:space="preserve">Rumus 14.3 dan 15.3</t>
  </si>
  <si>
    <t xml:space="preserve">Eskalasi sewa tahunan</t>
  </si>
  <si>
    <t xml:space="preserve">Proyeksi pasar Jakarta 2%–3% per tahun (Colliers, CBRE)</t>
  </si>
  <si>
    <t xml:space="preserve">Eskalasi service charge tahunan</t>
  </si>
  <si>
    <t xml:space="preserve">Proyeksi Colliers ~3% per tahun sampai 2029</t>
  </si>
  <si>
    <t xml:space="preserve">G. PAJAK  (verifikasi ke sumber resmi saat digunakan)</t>
  </si>
  <si>
    <t xml:space="preserve">PPh Final sewa tanah/bangunan</t>
  </si>
  <si>
    <t xml:space="preserve">PP 34/2017 — 10% dari jumlah bruto TERMASUK service charge</t>
  </si>
  <si>
    <t xml:space="preserve">Tarif PPN</t>
  </si>
  <si>
    <t xml:space="preserve">Periksa tarif yang berlaku saat digunakan</t>
  </si>
  <si>
    <t xml:space="preserve">H. INSENTIF DAN FIT-OUT</t>
  </si>
  <si>
    <t xml:space="preserve">Masa sewa baku (bulan)</t>
  </si>
  <si>
    <t xml:space="preserve">Rumus 14.1</t>
  </si>
  <si>
    <t xml:space="preserve">Bulan bebas sewa baku</t>
  </si>
  <si>
    <t xml:space="preserve">Biaya perbaikan ruang / TI (Rp/m2)</t>
  </si>
  <si>
    <t xml:space="preserve">Ditanggung pemilik</t>
  </si>
  <si>
    <t xml:space="preserve">Komisi agen (% nilai kontrak)</t>
  </si>
  <si>
    <t xml:space="preserve">Biaya fit-out penuh (Rp/m2)</t>
  </si>
  <si>
    <t xml:space="preserve">Untuk uji Rumus 10.5</t>
  </si>
  <si>
    <t xml:space="preserve">Masa sewa acuan fit-out (bulan)</t>
  </si>
  <si>
    <t xml:space="preserve">Rumus 10.5</t>
  </si>
  <si>
    <t xml:space="preserve">I. SENSITIVITAS</t>
  </si>
  <si>
    <t xml:space="preserve">Elastisitas okupansi terhadap harga</t>
  </si>
  <si>
    <t xml:space="preserve">Rumus 16.3. Nilai mutlak &lt; 1 berarti kenaikan tarif menambah pendapatan.</t>
  </si>
  <si>
    <t xml:space="preserve">J. AMBANG PEMERIKSAAN MUTU</t>
  </si>
  <si>
    <t xml:space="preserve">Toleransi kalibrasi</t>
  </si>
  <si>
    <t xml:space="preserve">CV pembanding maksimum</t>
  </si>
  <si>
    <t xml:space="preserve">Penyesuaian pembanding maksimum</t>
  </si>
  <si>
    <t xml:space="preserve">Selisih pembulatan maksimum</t>
  </si>
  <si>
    <t xml:space="preserve">Faktor kalibrasi k minimum</t>
  </si>
  <si>
    <t xml:space="preserve">Faktor kalibrasi k maksimum</t>
  </si>
  <si>
    <t xml:space="preserve">02 — DAFTAR UNIT DAN ATRIBUTNYA</t>
  </si>
  <si>
    <t xml:space="preserve">Ganti isi tabel ini dengan data gedung Anda. Baris pertama di bawah kepala tabel adalah CONTOH format yang benar. Seluruh kolom bertanda * wajib diisi.</t>
  </si>
  <si>
    <t xml:space="preserve">Kode_Gedung *</t>
  </si>
  <si>
    <t xml:space="preserve">Kode_Unit *</t>
  </si>
  <si>
    <t xml:space="preserve">Lantai *</t>
  </si>
  <si>
    <t xml:space="preserve">Luas_NLA_m2 *</t>
  </si>
  <si>
    <t xml:space="preserve">Kategori_View *</t>
  </si>
  <si>
    <t xml:space="preserve">Posisi *</t>
  </si>
  <si>
    <t xml:space="preserve">Kondisi_Fitout *</t>
  </si>
  <si>
    <t xml:space="preserve">Denah *</t>
  </si>
  <si>
    <t xml:space="preserve">Status_Hunian</t>
  </si>
  <si>
    <t xml:space="preserve">Nama_Penyewa</t>
  </si>
  <si>
    <t xml:space="preserve">Catatan</t>
  </si>
  <si>
    <t xml:space="preserve">MNS-01-03A</t>
  </si>
  <si>
    <t xml:space="preserve">Terbatas</t>
  </si>
  <si>
    <t xml:space="preserve">Hadap_Lift</t>
  </si>
  <si>
    <t xml:space="preserve">Warm_Shell</t>
  </si>
  <si>
    <t xml:space="preserve">Standar</t>
  </si>
  <si>
    <t xml:space="preserve">Terisi</t>
  </si>
  <si>
    <t xml:space="preserve">PT Rekayasa Presisi</t>
  </si>
  <si>
    <t xml:space="preserve">MNS-01-03B</t>
  </si>
  <si>
    <t xml:space="preserve">PT Samudera Trading</t>
  </si>
  <si>
    <t xml:space="preserve">MNS-01-03C</t>
  </si>
  <si>
    <t xml:space="preserve">Bebas_Kolom</t>
  </si>
  <si>
    <t xml:space="preserve">PT Cakrawala Media</t>
  </si>
  <si>
    <t xml:space="preserve">MNS-01-03D</t>
  </si>
  <si>
    <t xml:space="preserve">Terhalang</t>
  </si>
  <si>
    <t xml:space="preserve">Shell_Core</t>
  </si>
  <si>
    <t xml:space="preserve">MNS-01-04A</t>
  </si>
  <si>
    <t xml:space="preserve">Sudut</t>
  </si>
  <si>
    <t xml:space="preserve">PT Graha Konsultama</t>
  </si>
  <si>
    <t xml:space="preserve">MNS-01-04B</t>
  </si>
  <si>
    <t xml:space="preserve">PT Lintas Data Prima</t>
  </si>
  <si>
    <t xml:space="preserve">MNS-01-05A</t>
  </si>
  <si>
    <t xml:space="preserve">Semi_Fitted</t>
  </si>
  <si>
    <t xml:space="preserve">PT Mitra Energi Terbarukan</t>
  </si>
  <si>
    <t xml:space="preserve">MNS-01-05B</t>
  </si>
  <si>
    <t xml:space="preserve">PT Bahari Logistik</t>
  </si>
  <si>
    <t xml:space="preserve">MNS-01-06A</t>
  </si>
  <si>
    <t xml:space="preserve">PT Bumi Sejahtera</t>
  </si>
  <si>
    <t xml:space="preserve">MNS-01-06B</t>
  </si>
  <si>
    <t xml:space="preserve">Banyak_Kolom</t>
  </si>
  <si>
    <t xml:space="preserve">MNS-01-07A</t>
  </si>
  <si>
    <t xml:space="preserve">Kosong</t>
  </si>
  <si>
    <t xml:space="preserve">MNS-01-07B</t>
  </si>
  <si>
    <t xml:space="preserve">Terbuka</t>
  </si>
  <si>
    <t xml:space="preserve">Kantor Hukum Wijaya &amp; Rekan</t>
  </si>
  <si>
    <t xml:space="preserve">MNS-01-07C</t>
  </si>
  <si>
    <t xml:space="preserve">MNS-01-08A</t>
  </si>
  <si>
    <t xml:space="preserve">PT Sentosa Asuransi</t>
  </si>
  <si>
    <t xml:space="preserve">MNS-01-08B</t>
  </si>
  <si>
    <t xml:space="preserve">MNS-01-08C</t>
  </si>
  <si>
    <t xml:space="preserve">Fully_Fitted</t>
  </si>
  <si>
    <t xml:space="preserve">MNS-01-09A</t>
  </si>
  <si>
    <t xml:space="preserve">MNS-01-09B</t>
  </si>
  <si>
    <t xml:space="preserve">MNS-01-09C</t>
  </si>
  <si>
    <t xml:space="preserve">PT Nusantara Fintech</t>
  </si>
  <si>
    <t xml:space="preserve">MNS-01-09D</t>
  </si>
  <si>
    <t xml:space="preserve">Ujung_Buntu</t>
  </si>
  <si>
    <t xml:space="preserve">MNS-01-10A</t>
  </si>
  <si>
    <t xml:space="preserve">PT Sinar Kencana</t>
  </si>
  <si>
    <t xml:space="preserve">MNS-01-10B</t>
  </si>
  <si>
    <t xml:space="preserve">PT Karya Arsitektur</t>
  </si>
  <si>
    <t xml:space="preserve">MNS-01-10C</t>
  </si>
  <si>
    <t xml:space="preserve">Plafon_Tinggi</t>
  </si>
  <si>
    <t xml:space="preserve">MNS-01-10D</t>
  </si>
  <si>
    <t xml:space="preserve">MNS-01-11A</t>
  </si>
  <si>
    <t xml:space="preserve">MNS-01-11B</t>
  </si>
  <si>
    <t xml:space="preserve">Dekat_Servis</t>
  </si>
  <si>
    <t xml:space="preserve">MNS-01-11C</t>
  </si>
  <si>
    <t xml:space="preserve">MNS-01-12A</t>
  </si>
  <si>
    <t xml:space="preserve">MNS-01-12B</t>
  </si>
  <si>
    <t xml:space="preserve">MNS-01-12C</t>
  </si>
  <si>
    <t xml:space="preserve">MNS-01-12D</t>
  </si>
  <si>
    <t xml:space="preserve">MNS-01-13A</t>
  </si>
  <si>
    <t xml:space="preserve">MNS-01-13B</t>
  </si>
  <si>
    <t xml:space="preserve">PT Dirgantara Teknologi</t>
  </si>
  <si>
    <t xml:space="preserve">MNS-01-14A</t>
  </si>
  <si>
    <t xml:space="preserve">MNS-01-14B</t>
  </si>
  <si>
    <t xml:space="preserve">MNS-01-15A</t>
  </si>
  <si>
    <t xml:space="preserve">MNS-01-15B</t>
  </si>
  <si>
    <t xml:space="preserve">PT Andalan Digital</t>
  </si>
  <si>
    <t xml:space="preserve">MNS-01-16A</t>
  </si>
  <si>
    <t xml:space="preserve">MNS-01-16B</t>
  </si>
  <si>
    <t xml:space="preserve">MNS-01-16C</t>
  </si>
  <si>
    <t xml:space="preserve">MNS-01-17A</t>
  </si>
  <si>
    <t xml:space="preserve">MNS-01-17B</t>
  </si>
  <si>
    <t xml:space="preserve">MNS-01-18A</t>
  </si>
  <si>
    <t xml:space="preserve">MNS-01-18B</t>
  </si>
  <si>
    <t xml:space="preserve">MNS-01-19A</t>
  </si>
  <si>
    <t xml:space="preserve">MNS-01-19B</t>
  </si>
  <si>
    <t xml:space="preserve">MNS-01-20A</t>
  </si>
  <si>
    <t xml:space="preserve">MNS-01-20B</t>
  </si>
  <si>
    <t xml:space="preserve">MNS-01-20C</t>
  </si>
  <si>
    <t xml:space="preserve">MNS-01-21A</t>
  </si>
  <si>
    <t xml:space="preserve">MNS-01-21B</t>
  </si>
  <si>
    <t xml:space="preserve">MNS-01-22A</t>
  </si>
  <si>
    <t xml:space="preserve">MNS-01-23A</t>
  </si>
  <si>
    <t xml:space="preserve">MNS-01-24A</t>
  </si>
  <si>
    <t xml:space="preserve">MNS-01-24B</t>
  </si>
  <si>
    <t xml:space="preserve">MNS-01-25A</t>
  </si>
  <si>
    <t xml:space="preserve">MNS-01-25B</t>
  </si>
  <si>
    <t xml:space="preserve">MNS-01-26A</t>
  </si>
  <si>
    <t xml:space="preserve">MNS-01-26B</t>
  </si>
  <si>
    <t xml:space="preserve">MNS-01-27A</t>
  </si>
  <si>
    <t xml:space="preserve">Penanda</t>
  </si>
  <si>
    <t xml:space="preserve">MNS-01-27B</t>
  </si>
  <si>
    <t xml:space="preserve">MNS-01-28A</t>
  </si>
  <si>
    <t xml:space="preserve">MNS-01-29A</t>
  </si>
  <si>
    <t xml:space="preserve">MNS-01-30A</t>
  </si>
  <si>
    <t xml:space="preserve">TOTAL</t>
  </si>
  <si>
    <t xml:space="preserve">Catatan: Total luas di atas harus sama dengan NLA pada lembar 01_ASUMSI. Bila berbeda, salah satu datanya perlu diperbaiki.</t>
  </si>
  <si>
    <t xml:space="preserve">03 — TABEL ACUAN FAKTOR PENGALI</t>
  </si>
  <si>
    <t xml:space="preserve">Ubah nilai premi di sini untuk menyetel model. Seluruh angka WAJIB dikalibrasi dengan data setempat.</t>
  </si>
  <si>
    <t xml:space="preserve">TABEL 1 — ZONA LANTAI  (Rumus 9.1)</t>
  </si>
  <si>
    <t xml:space="preserve">Nama zona</t>
  </si>
  <si>
    <t xml:space="preserve">Lantai awal</t>
  </si>
  <si>
    <t xml:space="preserve">Lantai akhir</t>
  </si>
  <si>
    <t xml:space="preserve">Premi zona</t>
  </si>
  <si>
    <t xml:space="preserve">Tambahan/lantai</t>
  </si>
  <si>
    <t xml:space="preserve">Dasar pertimbangan</t>
  </si>
  <si>
    <t xml:space="preserve">Podium</t>
  </si>
  <si>
    <t xml:space="preserve">Kebisingan jalan, pemandangan terhalang; namun akses lobi tercepat.</t>
  </si>
  <si>
    <t xml:space="preserve">Bawah</t>
  </si>
  <si>
    <t xml:space="preserve">Zona acuan — premi ditetapkan nol.</t>
  </si>
  <si>
    <t xml:space="preserve">Tengah</t>
  </si>
  <si>
    <t xml:space="preserve">Di atas garis atap gedung sekitar; pemandangan mulai terbuka.</t>
  </si>
  <si>
    <t xml:space="preserve">Atas</t>
  </si>
  <si>
    <t xml:space="preserve">Pemandangan penuh, kebisingan minimal.</t>
  </si>
  <si>
    <t xml:space="preserve">Puncak</t>
  </si>
  <si>
    <t xml:space="preserve">Lantai penanda, gengsi tertinggi; premi melandai (Chau dkk. 2012).</t>
  </si>
  <si>
    <t xml:space="preserve">TABEL 2 — KATEGORI PEMANDANGAN  (Rumus 10.1)</t>
  </si>
  <si>
    <t xml:space="preserve">Kategori</t>
  </si>
  <si>
    <t xml:space="preserve">Premi</t>
  </si>
  <si>
    <t xml:space="preserve">Definisi objektif</t>
  </si>
  <si>
    <t xml:space="preserve">Jarak pandang bebas kurang dari 30 meter.</t>
  </si>
  <si>
    <t xml:space="preserve">Jarak pandang bebas 30–150 meter.</t>
  </si>
  <si>
    <t xml:space="preserve">Jarak pandang bebas di atas 150 meter tanpa penghalang utama.</t>
  </si>
  <si>
    <t xml:space="preserve">Menghadap objek bernilai: taman kota, sungai, tugu, garis langit.</t>
  </si>
  <si>
    <t xml:space="preserve">TABEL 3 — POSISI DALAM DENAH LANTAI  (Rumus 10.2)</t>
  </si>
  <si>
    <t xml:space="preserve">Kode posisi</t>
  </si>
  <si>
    <t xml:space="preserve">Alasan</t>
  </si>
  <si>
    <t xml:space="preserve">Jendela di dua sisi; cahaya alami dua arah, kesan lapang.</t>
  </si>
  <si>
    <t xml:space="preserve">Mudah ditemukan tamu; cocok untuk kantor dengan banyak kunjungan.</t>
  </si>
  <si>
    <t xml:space="preserve">Potensi kebisingan dan getaran dari ruang mesin.</t>
  </si>
  <si>
    <t xml:space="preserve">Akses lebih jauh, sirkulasi kurang baik.</t>
  </si>
  <si>
    <t xml:space="preserve">Kondisi acuan.</t>
  </si>
  <si>
    <t xml:space="preserve">TABEL 4 — KONDISI FIT-OUT  (Rumus 10.4)</t>
  </si>
  <si>
    <t xml:space="preserve">Kondisi</t>
  </si>
  <si>
    <t xml:space="preserve">Keterangan</t>
  </si>
  <si>
    <t xml:space="preserve">Polos: struktur, lantai beton, belum ada interior. Kondisi acuan.</t>
  </si>
  <si>
    <t xml:space="preserve">Plafon, lantai, dan listrik dasar sudah terpasang.</t>
  </si>
  <si>
    <t xml:space="preserve">Partisi dasar dan pantry sudah tersedia.</t>
  </si>
  <si>
    <t xml:space="preserve">Siap huni termasuk perabot. Uji dengan Rumus 10.5.</t>
  </si>
  <si>
    <t xml:space="preserve">TABEL 5 — EFISIENSI DENAH  (Rumus 10.6)</t>
  </si>
  <si>
    <t xml:space="preserve">Karakteristik</t>
  </si>
  <si>
    <t xml:space="preserve">Denah tanpa kolom di dalam unit; tata ruang paling luwes.</t>
  </si>
  <si>
    <t xml:space="preserve">Banyak kolom atau bentuk tidak beraturan.</t>
  </si>
  <si>
    <t xml:space="preserve">Tinggi plafon di atas 2,90 meter.</t>
  </si>
  <si>
    <t xml:space="preserve">Landasan empiris: Nutt (2016, MIT) — premi lantai positif di 23 dari 25 kota; Nase dkk. (2019) — 27% premi vertikal berasal dari pemandangan; Koster dkk. (2014) — ~4% per 10 m tinggi gedung; Chau dkk. (2012) — premi lantai mengecil di ketinggian. Rincian dan tautan pada lembar 11_SUMBER.</t>
  </si>
  <si>
    <t xml:space="preserve">04 — MESIN PERHITUNGAN TARIF PER UNIT  (JANGAN DIUBAH)</t>
  </si>
  <si>
    <t xml:space="preserve">Seluruh sel di lembar ini berisi rumus. Mengganti rumus dengan angka akan merusak model. Untuk menyetel hasil, ubah lembar 01_ASUMSI atau 03_FAKTOR.</t>
  </si>
  <si>
    <t xml:space="preserve">BLOK KALIBRASI  (Rumus 11.1)</t>
  </si>
  <si>
    <t xml:space="preserve">Rata-rata tertimbang tarif awal (Rp/m2/bln)</t>
  </si>
  <si>
    <t xml:space="preserve">Tarif dasar gedung R* (Rp/m2/bln)</t>
  </si>
  <si>
    <t xml:space="preserve">FAKTOR KALIBRASI  k</t>
  </si>
  <si>
    <t xml:space="preserve">Sehat pada rentang 0,90–1,10. Di luar itu, komposisi unit terlalu berat sebelah.</t>
  </si>
  <si>
    <t xml:space="preserve">Kode_Unit</t>
  </si>
  <si>
    <t xml:space="preserve">Lantai</t>
  </si>
  <si>
    <t xml:space="preserve">Luas m2</t>
  </si>
  <si>
    <t xml:space="preserve">Zona</t>
  </si>
  <si>
    <t xml:space="preserve">F lantai ZONA</t>
  </si>
  <si>
    <t xml:space="preserve">F lantai LOG</t>
  </si>
  <si>
    <t xml:space="preserve">F lantai DIPAKAI</t>
  </si>
  <si>
    <t xml:space="preserve">premi view mentah</t>
  </si>
  <si>
    <t xml:space="preserve">F view (dikoreksi)</t>
  </si>
  <si>
    <t xml:space="preserve">F posisi</t>
  </si>
  <si>
    <t xml:space="preserve">F ukuran</t>
  </si>
  <si>
    <t xml:space="preserve">F kondisi</t>
  </si>
  <si>
    <t xml:space="preserve">F denah</t>
  </si>
  <si>
    <t xml:space="preserve">F TOTAL</t>
  </si>
  <si>
    <t xml:space="preserve">F dibatasi</t>
  </si>
  <si>
    <t xml:space="preserve">cadangan</t>
  </si>
  <si>
    <t xml:space="preserve">R awal Rp/m2/bln</t>
  </si>
  <si>
    <t xml:space="preserve">R final Rp/m2/bln</t>
  </si>
  <si>
    <t xml:space="preserve">R publikasi Rp/m2/bln</t>
  </si>
  <si>
    <t xml:space="preserve">Tarif kotor Rp/m2/bln</t>
  </si>
  <si>
    <t xml:space="preserve">Sewa/bulan Rp</t>
  </si>
  <si>
    <t xml:space="preserve">Service charge/bln</t>
  </si>
  <si>
    <t xml:space="preserve">Tagihan kotor/bln</t>
  </si>
  <si>
    <t xml:space="preserve">PPN</t>
  </si>
  <si>
    <t xml:space="preserve">Total ditagih ke penyewa</t>
  </si>
  <si>
    <t xml:space="preserve">PPh Final</t>
  </si>
  <si>
    <t xml:space="preserve">Diterima pemilik/bln</t>
  </si>
  <si>
    <t xml:space="preserve">Status hunian</t>
  </si>
  <si>
    <t xml:space="preserve">TOTAL / RATA-RATA</t>
  </si>
  <si>
    <t xml:space="preserve">Kolom S (R publikasi) rata-rata tertimbang harus mendekati R* pada 01_ASUMSI. Selisihnya berasal dari pembulatan dan diperiksa di lembar 09_RINGKASAN.</t>
  </si>
  <si>
    <t xml:space="preserve">05 — GRID PENYESUAIAN DATA PEMBANDING PASAR  (Rumus 5.1–5.3)</t>
  </si>
  <si>
    <t xml:space="preserve">Aturan tanda: pembanding LEBIH BAIK dari gedung kita diberi penyesuaian NEGATIF; pembanding LEBIH BURUK diberi penyesuaian POSITIF.</t>
  </si>
  <si>
    <t xml:space="preserve">Kode</t>
  </si>
  <si>
    <t xml:space="preserve">Nama gedung pembanding</t>
  </si>
  <si>
    <t xml:space="preserve">Tarif awal Rp/m2/bln</t>
  </si>
  <si>
    <t xml:space="preserve">Adj Lokasi</t>
  </si>
  <si>
    <t xml:space="preserve">Adj Usia</t>
  </si>
  <si>
    <t xml:space="preserve">Adj Grade</t>
  </si>
  <si>
    <t xml:space="preserve">Adj Transit</t>
  </si>
  <si>
    <t xml:space="preserve">Adj Hijau</t>
  </si>
  <si>
    <t xml:space="preserve">Adj Fasilitas</t>
  </si>
  <si>
    <t xml:space="preserve">Total bersih</t>
  </si>
  <si>
    <t xml:space="preserve">Total mutlak</t>
  </si>
  <si>
    <t xml:space="preserve">1/(mutlak+eps)</t>
  </si>
  <si>
    <t xml:space="preserve">Bobot</t>
  </si>
  <si>
    <t xml:space="preserve">Tarif disesuaikan</t>
  </si>
  <si>
    <t xml:space="preserve">Kontribusi</t>
  </si>
  <si>
    <t xml:space="preserve">Sumber data</t>
  </si>
  <si>
    <t xml:space="preserve">P-01</t>
  </si>
  <si>
    <t xml:space="preserve">Menara Cendrawasih</t>
  </si>
  <si>
    <t xml:space="preserve">Laporan konsultan properti Q2 2026</t>
  </si>
  <si>
    <t xml:space="preserve">P-02</t>
  </si>
  <si>
    <t xml:space="preserve">Wisma Anggrek</t>
  </si>
  <si>
    <t xml:space="preserve">B+</t>
  </si>
  <si>
    <t xml:space="preserve">Survei langsung, Juni 2026</t>
  </si>
  <si>
    <t xml:space="preserve">P-03</t>
  </si>
  <si>
    <t xml:space="preserve">Graha Kirana Tower</t>
  </si>
  <si>
    <t xml:space="preserve">P-04</t>
  </si>
  <si>
    <t xml:space="preserve">Plaza Mahakam</t>
  </si>
  <si>
    <t xml:space="preserve">A-</t>
  </si>
  <si>
    <t xml:space="preserve">Data transaksi internal, Mei 2026</t>
  </si>
  <si>
    <t xml:space="preserve">P-05</t>
  </si>
  <si>
    <t xml:space="preserve">Menara Bimasakti</t>
  </si>
  <si>
    <t xml:space="preserve">Survei langsung, Juli 2026</t>
  </si>
  <si>
    <t xml:space="preserve">P-06</t>
  </si>
  <si>
    <t xml:space="preserve">Sentra Nirwana Office</t>
  </si>
  <si>
    <t xml:space="preserve">TARIF DASAR INDIKASI PASAR  (R pasar)</t>
  </si>
  <si>
    <t xml:space="preserve">Rumus 5.3</t>
  </si>
  <si>
    <t xml:space="preserve">Rata-rata sederhana (pembanding)</t>
  </si>
  <si>
    <t xml:space="preserve">Simpangan baku tarif disesuaikan</t>
  </si>
  <si>
    <t xml:space="preserve">Koefisien variasi (Rumus 17.1)</t>
  </si>
  <si>
    <t xml:space="preserve">Ambang: maksimal 15%</t>
  </si>
  <si>
    <t xml:space="preserve">Penyesuaian mutlak terbesar</t>
  </si>
  <si>
    <t xml:space="preserve">Ambang: maksimal 25%</t>
  </si>
  <si>
    <t xml:space="preserve">Jumlah pembanding</t>
  </si>
  <si>
    <t xml:space="preserve">Minimal 4, idealnya 6–8</t>
  </si>
  <si>
    <t xml:space="preserve">Sumber acuan pasar Jakarta: Colliers, Cushman &amp; Wakefield, CBRE, JLL, dan Bank Indonesia. Tautan lengkap pada lembar 11_SUMBER. Seluruh angka pada tabel ini adalah DATA DUMMY.</t>
  </si>
  <si>
    <t xml:space="preserve">06 — UJI KELAYAKAN: PENDEKATAN PENDAPATAN DAN PAGAR PENGAMAN</t>
  </si>
  <si>
    <t xml:space="preserve">BAGIAN 1 — PENDEKATAN PENDAPATAN  (Rumus 6.1–6.5)</t>
  </si>
  <si>
    <t xml:space="preserve">NLA total (m2)</t>
  </si>
  <si>
    <t xml:space="preserve">Penyebut efektif  = NLA x (okupansi - kerugian) x 12</t>
  </si>
  <si>
    <t xml:space="preserve">Meter persegi-bulan yang benar-benar menghasilkan uang</t>
  </si>
  <si>
    <t xml:space="preserve">Nilai aset (Rp)</t>
  </si>
  <si>
    <t xml:space="preserve">NOI target (Rp/tahun)</t>
  </si>
  <si>
    <t xml:space="preserve">Rumus 6.4 dibalik</t>
  </si>
  <si>
    <t xml:space="preserve">TARIF YANG DIBUTUHKAN  (R butuh)</t>
  </si>
  <si>
    <t xml:space="preserve">Rumus 6.5</t>
  </si>
  <si>
    <t xml:space="preserve">BAGIAN 2 — TITIK IMPAS  (Rumus 6.6)</t>
  </si>
  <si>
    <t xml:space="preserve">TARIF TITIK IMPAS  (R impas)</t>
  </si>
  <si>
    <t xml:space="preserve">Di bawah angka ini, tiap m2 yang disewakan menambah kerugian</t>
  </si>
  <si>
    <t xml:space="preserve">BAGIAN 3 — PAGAR PENGAMAN DAN PENETAPAN TARIF  (Rumus 7.1–7.3)</t>
  </si>
  <si>
    <t xml:space="preserve">Tarif indikasi pasar  (R pasar)</t>
  </si>
  <si>
    <t xml:space="preserve">Dari lembar 05</t>
  </si>
  <si>
    <t xml:space="preserve">TARIF DASAR HASIL MODEL  (R*)</t>
  </si>
  <si>
    <t xml:space="preserve">Rumus 7.3 — median otomatis menjaga tarif di dalam koridor</t>
  </si>
  <si>
    <t xml:space="preserve">Batas bawah  (R min)</t>
  </si>
  <si>
    <t xml:space="preserve">Batas atas  (R maks)</t>
  </si>
  <si>
    <t xml:space="preserve">BAGIAN 4 — DIAGNOSIS</t>
  </si>
  <si>
    <t xml:space="preserve">Tarif dipakai  (R* dari 01_ASUMSI)</t>
  </si>
  <si>
    <t xml:space="preserve">Selisih terhadap tarif yang dibutuhkan</t>
  </si>
  <si>
    <t xml:space="preserve">Negatif berarti target imbal hasil belum tercapai pada tarif ini</t>
  </si>
  <si>
    <t xml:space="preserve">Selisih terhadap titik impas</t>
  </si>
  <si>
    <t xml:space="preserve">Negatif berarti gedung merugi secara kas pada okupansi target</t>
  </si>
  <si>
    <t xml:space="preserve">Okupansi minimum agar impas</t>
  </si>
  <si>
    <t xml:space="preserve">Okupansi yang harus dicapai agar tarif saat ini menutup seluruh biaya</t>
  </si>
  <si>
    <t xml:space="preserve">Status terhadap koridor</t>
  </si>
  <si>
    <t xml:space="preserve">Status terhadap titik impas</t>
  </si>
  <si>
    <t xml:space="preserve">Cara membaca: bila tarif yang dibutuhkan jauh di atas indikasi pasar, itu BUKAN kesalahan hitung, melainkan temuan penting. Pilihan tindakannya dijelaskan pada Bab 6.2 handbook: turunkan target imbal hasil, tekan biaya operasional, naikkan okupansi, tambah pendapatan lain, atau tinjau ulang nilai buku aset.</t>
  </si>
  <si>
    <t xml:space="preserve">07 — SEWA EFEKTIF BERSIH (NER) DAN BATAS INSENTIF  (Rumus 14.1, 14.4)</t>
  </si>
  <si>
    <t xml:space="preserve">NER menjawab: berapa tarif riil setelah bulan gratis dan biaya insentif diperhitungkan? Kolom 'Batas bulan gratis' adalah pagar bagi tim pemasaran saat bernegosiasi.</t>
  </si>
  <si>
    <t xml:space="preserve">Tarif minimum yang dapat diterima (R min)</t>
  </si>
  <si>
    <t xml:space="preserve">R publikasi</t>
  </si>
  <si>
    <t xml:space="preserve">Masa sewa bln</t>
  </si>
  <si>
    <t xml:space="preserve">Bulan gratis</t>
  </si>
  <si>
    <t xml:space="preserve">Biaya TI total Rp</t>
  </si>
  <si>
    <t xml:space="preserve">Komisi agen Rp</t>
  </si>
  <si>
    <t xml:space="preserve">NER Rp/m2/bln</t>
  </si>
  <si>
    <t xml:space="preserve">NER vs R min</t>
  </si>
  <si>
    <t xml:space="preserve">Batas bulan gratis</t>
  </si>
  <si>
    <t xml:space="preserve">Status</t>
  </si>
  <si>
    <t xml:space="preserve">RATA-RATA TERTIMBANG</t>
  </si>
  <si>
    <t xml:space="preserve">08 — ANALISIS SENSITIVITAS DAN SKENARIO  (Rumus 16.1–16.5)</t>
  </si>
  <si>
    <t xml:space="preserve">TABEL 1 — PENDAPATAN SEWA TAHUNAN (Rp) menurut TARIF x OKUPANSI</t>
  </si>
  <si>
    <t xml:space="preserve">Tarif (Rp/m2/bln)  ↓   /   Okupansi  →</t>
  </si>
  <si>
    <t xml:space="preserve">Pendapatan pada titik impas (Rp/tahun)</t>
  </si>
  <si>
    <t xml:space="preserve">Sel di tabel yang nilainya di bawah angka ini berada di zona rugi.</t>
  </si>
  <si>
    <t xml:space="preserve">TABEL 2 — REVPAM DAN ELASTISITAS  (Rumus 16.2–16.4)</t>
  </si>
  <si>
    <t xml:space="preserve">Perubahan tarif</t>
  </si>
  <si>
    <t xml:space="preserve">Tarif baru</t>
  </si>
  <si>
    <t xml:space="preserve">Okupansi hasil elastisitas</t>
  </si>
  <si>
    <t xml:space="preserve">RevPAM Rp/m2/bln</t>
  </si>
  <si>
    <t xml:space="preserve">Pendapatan tahunan Rp</t>
  </si>
  <si>
    <t xml:space="preserve">Selisih vs dasar</t>
  </si>
  <si>
    <t xml:space="preserve">Selama nilai mutlak elastisitas kurang dari 1, kenaikan tarif menaikkan pendapatan meskipun okupansi turun.</t>
  </si>
  <si>
    <t xml:space="preserve">TABEL 3 — TIGA SKENARIO BAKU</t>
  </si>
  <si>
    <t xml:space="preserve">Skenario</t>
  </si>
  <si>
    <t xml:space="preserve">Delta tarif</t>
  </si>
  <si>
    <t xml:space="preserve">Delta okupansi</t>
  </si>
  <si>
    <t xml:space="preserve">Eskalasi</t>
  </si>
  <si>
    <t xml:space="preserve">Tarif skenario</t>
  </si>
  <si>
    <t xml:space="preserve">Okupansi skenario</t>
  </si>
  <si>
    <t xml:space="preserve">Pendapatan tahun-1 Rp</t>
  </si>
  <si>
    <t xml:space="preserve">Digunakan untuk</t>
  </si>
  <si>
    <t xml:space="preserve">Konservatif</t>
  </si>
  <si>
    <t xml:space="preserve">Uji ketahanan; dasar perhitungan kovenan utang.</t>
  </si>
  <si>
    <t xml:space="preserve">Dasar</t>
  </si>
  <si>
    <t xml:space="preserve">Anggaran resmi.</t>
  </si>
  <si>
    <t xml:space="preserve">Optimistis</t>
  </si>
  <si>
    <t xml:space="preserve">Perencanaan kapasitas dan investasi.</t>
  </si>
  <si>
    <t xml:space="preserve">TABEL 4 — PROYEKSI 5 TAHUN DENGAN ESKALASI  (Rumus 15.1)</t>
  </si>
  <si>
    <t xml:space="preserve">Tahun</t>
  </si>
  <si>
    <t xml:space="preserve">Tarif sewa Rp/m2/bln</t>
  </si>
  <si>
    <t xml:space="preserve">Service charge Rp/m2/bln</t>
  </si>
  <si>
    <t xml:space="preserve">Tarif kotor</t>
  </si>
  <si>
    <t xml:space="preserve">Pendapatan sewa tahunan Rp</t>
  </si>
  <si>
    <t xml:space="preserve">Nilai kini Rp</t>
  </si>
  <si>
    <t xml:space="preserve">09 — PAPAN PANTAU DAN PEMERIKSAAN MUTU MODEL</t>
  </si>
  <si>
    <t xml:space="preserve">BAGIAN 1 — RINGKASAN KINERJA</t>
  </si>
  <si>
    <t xml:space="preserve">Jumlah unit</t>
  </si>
  <si>
    <t xml:space="preserve">Total NLA (m2)</t>
  </si>
  <si>
    <t xml:space="preserve">Tarif publikasi rata-rata tertimbang</t>
  </si>
  <si>
    <t xml:space="preserve">Harus mendekati R*</t>
  </si>
  <si>
    <t xml:space="preserve">Tarif terendah / tertinggi</t>
  </si>
  <si>
    <t xml:space="preserve">Faktor kalibrasi k</t>
  </si>
  <si>
    <t xml:space="preserve">Sehat pada 0,90–1,10</t>
  </si>
  <si>
    <t xml:space="preserve">Tarif kotor rata-rata (Rp/m2/bln)</t>
  </si>
  <si>
    <t xml:space="preserve">Potensi pendapatan kotor tahunan (Rp)</t>
  </si>
  <si>
    <t xml:space="preserve">PGI — Rumus 6.1</t>
  </si>
  <si>
    <t xml:space="preserve">Pendapatan pada okupansi target (Rp/thn)</t>
  </si>
  <si>
    <t xml:space="preserve">RevPAM (Rp/m2/bln)</t>
  </si>
  <si>
    <t xml:space="preserve">Rumus 16.2</t>
  </si>
  <si>
    <t xml:space="preserve">Okupansi aktual (dari data unit)</t>
  </si>
  <si>
    <t xml:space="preserve">BAGIAN 2 — TARIF RATA-RATA PER ZONA LANTAI</t>
  </si>
  <si>
    <t xml:space="preserve">Total NLA m2</t>
  </si>
  <si>
    <t xml:space="preserve">Tarif rata-rata Rp/m2/bln</t>
  </si>
  <si>
    <t xml:space="preserve">Faktor lantai rata-rata</t>
  </si>
  <si>
    <t xml:space="preserve">Tarif rata-rata harus naik dari zona bawah ke zona atas. Bila tidak, periksa faktor lantai.</t>
  </si>
  <si>
    <t xml:space="preserve">BAGIAN 3 — SEMBILAN PEMERIKSAAN MUTU  (Bab 17)</t>
  </si>
  <si>
    <t xml:space="preserve">No dan nama pemeriksaan</t>
  </si>
  <si>
    <t xml:space="preserve">Nilai terukur</t>
  </si>
  <si>
    <t xml:space="preserve">Ambang</t>
  </si>
  <si>
    <t xml:space="preserve">STATUS</t>
  </si>
  <si>
    <t xml:space="preserve">Tindakan bila PERIKSA</t>
  </si>
  <si>
    <t xml:space="preserve">1. Selisih kalibrasi rata-rata</t>
  </si>
  <si>
    <t xml:space="preserve">Perkecil satuan pembulatan pada 01_ASUMSI.</t>
  </si>
  <si>
    <t xml:space="preserve">2. Faktor total minimum</t>
  </si>
  <si>
    <t xml:space="preserve">Ada faktor yang terlalu menekan. Periksa tumpang tindih di 03_FAKTOR.</t>
  </si>
  <si>
    <t xml:space="preserve">3. Faktor total maksimum</t>
  </si>
  <si>
    <t xml:space="preserve">Ada faktor yang terlalu agresif. Periksa tumpang tindih di 03_FAKTOR.</t>
  </si>
  <si>
    <t xml:space="preserve">4. Tarif di atas titik impas</t>
  </si>
  <si>
    <t xml:space="preserve">Tekan biaya operasional, naikkan okupansi, atau tinjau struktur pendanaan.</t>
  </si>
  <si>
    <t xml:space="preserve">5. Tarif di dalam koridor bawah</t>
  </si>
  <si>
    <t xml:space="preserve">Tarif terlalu rendah terhadap pasar dan titik impas.</t>
  </si>
  <si>
    <t xml:space="preserve">6. Tarif di dalam koridor atas</t>
  </si>
  <si>
    <t xml:space="preserve">Tarif melampaui batas yang dapat dipertahankan.</t>
  </si>
  <si>
    <t xml:space="preserve">7. Koefisien variasi data pembanding</t>
  </si>
  <si>
    <t xml:space="preserve">Pembanding terlalu beragam. Buang yang paling menyimpang.</t>
  </si>
  <si>
    <t xml:space="preserve">8. Penyesuaian pembanding terbesar</t>
  </si>
  <si>
    <t xml:space="preserve">Ada pembanding yang terlalu berbeda. Ganti dengan yang lebih mirip.</t>
  </si>
  <si>
    <t xml:space="preserve">9. Kelengkapan data unit (sel kosong)</t>
  </si>
  <si>
    <t xml:space="preserve">Lengkapi kolom wajib pada 02_MASTER_UNIT.</t>
  </si>
  <si>
    <t xml:space="preserve">PEMERIKSAAN TAMBAHAN — Monotonisitas vertikal</t>
  </si>
  <si>
    <t xml:space="preserve">Tarif rata-rata zona atas harus &gt;= zona di bawahnya.</t>
  </si>
  <si>
    <t xml:space="preserve">PEMERIKSAAN TAMBAHAN — Faktor kalibrasi dalam rentang</t>
  </si>
  <si>
    <t xml:space="preserve">PEMERIKSAAN TAMBAHAN — Premi fit-out menutup biaya (Rumus 10.5)</t>
  </si>
  <si>
    <t xml:space="preserve">Bila PERIKSA: perpanjang masa sewa, tagih fit-out terpisah, atau batasi pada tingkat warm shell.</t>
  </si>
  <si>
    <t xml:space="preserve">JUMLAH PEMERIKSAAN YANG LULUS</t>
  </si>
  <si>
    <t xml:space="preserve">Seluruh pemeriksaan harus berstatus LULUS sebelum daftar harga diterbitkan. Tidak ada pengecualian.</t>
  </si>
  <si>
    <t xml:space="preserve">BAGIAN 4 — STATUS KALIBRASI MODEL</t>
  </si>
  <si>
    <t xml:space="preserve">Status kalibrasi faktor lantai</t>
  </si>
  <si>
    <t xml:space="preserve">BELUM_TERKALIBRASI</t>
  </si>
  <si>
    <t xml:space="preserve">Ubah menjadi TERKALIBRASI hanya setelah regresi Bab 12 dijalankan dengan minimal 30 kontrak di 8 lantai berbeda.</t>
  </si>
  <si>
    <t xml:space="preserve">Tanggal tinjauan terakhir</t>
  </si>
  <si>
    <t xml:space="preserve">2026-08-23</t>
  </si>
  <si>
    <t xml:space="preserve">Tinjauan berikutnya dijadwalkan</t>
  </si>
  <si>
    <t xml:space="preserve">Kuartal berikutnya</t>
  </si>
  <si>
    <t xml:space="preserve">Jadwal lengkap pada Bab 20.3 handbook.</t>
  </si>
  <si>
    <t xml:space="preserve">10 — KAMUS DATA</t>
  </si>
  <si>
    <t xml:space="preserve">Lembar</t>
  </si>
  <si>
    <t xml:space="preserve">Nama kolom</t>
  </si>
  <si>
    <t xml:space="preserve">Satuan</t>
  </si>
  <si>
    <t xml:space="preserve">Definisi</t>
  </si>
  <si>
    <t xml:space="preserve">Wajib?</t>
  </si>
  <si>
    <t xml:space="preserve">Kode_Gedung</t>
  </si>
  <si>
    <t xml:space="preserve">teks</t>
  </si>
  <si>
    <t xml:space="preserve">Pengenal gedung. Diperlukan bila model diperluas ke banyak gedung.</t>
  </si>
  <si>
    <t xml:space="preserve">Ya</t>
  </si>
  <si>
    <t xml:space="preserve">Pengenal unik unit. Disarankan format KODEGEDUNG-LANTAIHURUF.</t>
  </si>
  <si>
    <t xml:space="preserve">angka</t>
  </si>
  <si>
    <t xml:space="preserve">Nomor lantai tempat unit berada.</t>
  </si>
  <si>
    <t xml:space="preserve">Luas_NLA_m2</t>
  </si>
  <si>
    <t xml:space="preserve">m2</t>
  </si>
  <si>
    <t xml:space="preserve">Luas yang ditagihkan, diukur dengan standar yang tercatat di 01_ASUMSI.</t>
  </si>
  <si>
    <t xml:space="preserve">Kategori_View</t>
  </si>
  <si>
    <t xml:space="preserve">Salah satu dari: Terhalang, Terbatas, Terbuka, Penanda.</t>
  </si>
  <si>
    <t xml:space="preserve">Posisi</t>
  </si>
  <si>
    <t xml:space="preserve">Salah satu dari: Sudut, Hadap_Lift, Dekat_Servis, Ujung_Buntu, Standar.</t>
  </si>
  <si>
    <t xml:space="preserve">Kondisi_Fitout</t>
  </si>
  <si>
    <t xml:space="preserve">Salah satu dari: Shell_Core, Warm_Shell, Semi_Fitted, Fully_Fitted.</t>
  </si>
  <si>
    <t xml:space="preserve">Denah</t>
  </si>
  <si>
    <t xml:space="preserve">Salah satu dari: Bebas_Kolom, Standar, Banyak_Kolom, Plafon_Tinggi.</t>
  </si>
  <si>
    <t xml:space="preserve">Terisi atau Kosong. Dipakai untuk menghitung okupansi aktual.</t>
  </si>
  <si>
    <t xml:space="preserve">Tidak</t>
  </si>
  <si>
    <t xml:space="preserve">Nama penyewa saat ini bila unit terisi.</t>
  </si>
  <si>
    <t xml:space="preserve">Zona lantai hasil pencarian otomatis dari tabel di 03_FAKTOR.</t>
  </si>
  <si>
    <t xml:space="preserve">Rumus</t>
  </si>
  <si>
    <t xml:space="preserve">faktor</t>
  </si>
  <si>
    <t xml:space="preserve">Faktor lantai yang aktif, mengikuti saklar model di 01_ASUMSI.</t>
  </si>
  <si>
    <t xml:space="preserve">Faktor pemandangan setelah dikurangi porsi yang sudah terkandung di faktor lantai.</t>
  </si>
  <si>
    <t xml:space="preserve">Hasil perkalian seluruh faktor sebelum pembatasan.</t>
  </si>
  <si>
    <t xml:space="preserve">F TOTAL setelah dibatasi pada rentang aman (Rumus 8.3).</t>
  </si>
  <si>
    <t xml:space="preserve">R awal</t>
  </si>
  <si>
    <t xml:space="preserve">Rp/m2/bln</t>
  </si>
  <si>
    <t xml:space="preserve">Tarif unit sebelum kalibrasi (Rumus 8.1).</t>
  </si>
  <si>
    <t xml:space="preserve">R final</t>
  </si>
  <si>
    <t xml:space="preserve">Tarif unit setelah dikalikan faktor kalibrasi (Rumus 11.2).</t>
  </si>
  <si>
    <t xml:space="preserve">Tarif final setelah pembulatan (Rumus 11.3). INI YANG DIPUBLIKASIKAN.</t>
  </si>
  <si>
    <t xml:space="preserve">R publikasi ditambah service charge. Angka yang dibandingkan calon penyewa.</t>
  </si>
  <si>
    <t xml:space="preserve">Rp/bln</t>
  </si>
  <si>
    <t xml:space="preserve">10% dari tagihan kotor termasuk service charge (PP 34/2017).</t>
  </si>
  <si>
    <t xml:space="preserve">Adj *</t>
  </si>
  <si>
    <t xml:space="preserve">persen</t>
  </si>
  <si>
    <t xml:space="preserve">Penyesuaian per atribut. Negatif bila pembanding lebih baik dari objek.</t>
  </si>
  <si>
    <t xml:space="preserve">Jumlah nilai mutlak seluruh penyesuaian. Ambang maksimal 25%.</t>
  </si>
  <si>
    <t xml:space="preserve">Bobot kemiripan (Rumus 5.2). Pembanding yang lebih mirip diberi bobot lebih besar.</t>
  </si>
  <si>
    <t xml:space="preserve">NER</t>
  </si>
  <si>
    <t xml:space="preserve">Sewa efektif bersih setelah bulan gratis dan biaya insentif (Rumus 14.1).</t>
  </si>
  <si>
    <t xml:space="preserve">bulan</t>
  </si>
  <si>
    <t xml:space="preserve">Jumlah maksimum bulan bebas sewa agar NER tetap di atas batas (Rumus 14.4).</t>
  </si>
  <si>
    <t xml:space="preserve">11 — SUMBER RUJUKAN DAN TAUTAN</t>
  </si>
  <si>
    <t xml:space="preserve">Setiap angka yang berasal dari luar wajib dicatat sumbernya di sini. Ini adalah syarat agar model dapat diaudit.</t>
  </si>
  <si>
    <t xml:space="preserve">A. STANDAR PENGUKURAN DAN PENILAIAN</t>
  </si>
  <si>
    <t xml:space="preserve">No</t>
  </si>
  <si>
    <t xml:space="preserve">Rujukan</t>
  </si>
  <si>
    <t xml:space="preserve">Dipakai untuk</t>
  </si>
  <si>
    <t xml:space="preserve">Tautan</t>
  </si>
  <si>
    <t xml:space="preserve">BOMA International — Office Buildings: Standard Methods of Measurement (ANSI/BOMA Z65.1)</t>
  </si>
  <si>
    <t xml:space="preserve">Bab 3 — NLA, faktor beban, Metode A dan B</t>
  </si>
  <si>
    <t xml:space="preserve">https://www.boma.org/BOMA/BOMA-Standards/BOMA_Floor_Measurement_Standards/Office_Buildings.aspx</t>
  </si>
  <si>
    <t xml:space="preserve">BOMA International — daftar seluruh standar</t>
  </si>
  <si>
    <t xml:space="preserve">Bab 3 — edisi terbaru tiap jenis properti</t>
  </si>
  <si>
    <t xml:space="preserve">https://boma.org/boma-standards/</t>
  </si>
  <si>
    <t xml:space="preserve">IVSC — IVS 105 Valuation Approaches and Methods</t>
  </si>
  <si>
    <t xml:space="preserve">Bab 4 — tiga pendekatan penilaian</t>
  </si>
  <si>
    <t xml:space="preserve">https://www.ivsc.org/wp-content/uploads/2021/10/IVS105ValuationApproaches.pdf</t>
  </si>
  <si>
    <t xml:space="preserve">IVSC — International Valuation Standards</t>
  </si>
  <si>
    <t xml:space="preserve">Bab 4 — struktur standar umum dan standar aset</t>
  </si>
  <si>
    <t xml:space="preserve">https://ivsc.org/standards/</t>
  </si>
  <si>
    <t xml:space="preserve">RICS — Valuation Global Standards (Red Book)</t>
  </si>
  <si>
    <t xml:space="preserve">Bab 4 — kerangka praktik penilaian global</t>
  </si>
  <si>
    <t xml:space="preserve">https://www.rics.org/profession-standards/rics-standards-and-guidance/sector-standards/valuation-standards/red-book/red-book-global</t>
  </si>
  <si>
    <t xml:space="preserve">MAPPI — KEPI &amp; SPI Edisi VII 2018</t>
  </si>
  <si>
    <t xml:space="preserve">Bab 4 dan 6 — SPI 106, metode kapitalisasi langsung</t>
  </si>
  <si>
    <t xml:space="preserve">https://ecommerce.mappi.or.id/home/products/kode-etik-penilai-indonesia-dan-standar-penilaian-indonesia-edisi-vii-2018-bundling</t>
  </si>
  <si>
    <t xml:space="preserve">Penjelasan kedudukan hukum SPI dan PMK 101/2014</t>
  </si>
  <si>
    <t xml:space="preserve">Bab 4 — sifat wajib SPI</t>
  </si>
  <si>
    <t xml:space="preserve">https://penilaian.id/2022/07/30/apa-itu-standar-penilaian-indonesia-spi/</t>
  </si>
  <si>
    <t xml:space="preserve">B. LITERATUR AKADEMIK</t>
  </si>
  <si>
    <t xml:space="preserve">Rosen, S. (1974). Hedonic Prices and Implicit Markets. Journal of Political Economy, 82(1), 34–55.</t>
  </si>
  <si>
    <t xml:space="preserve">Bab 12 — landasan regresi hedonik</t>
  </si>
  <si>
    <t xml:space="preserve">https://doi.org/10.1086/260169</t>
  </si>
  <si>
    <t xml:space="preserve">Koster, van Ommeren &amp; Rietveld (2014). Is the sky the limit? Journal of Economic Geography, 14(1), 125–153.</t>
  </si>
  <si>
    <t xml:space="preserve">Bab 1 dan 9 — premi ~4% per 10 m tinggi gedung</t>
  </si>
  <si>
    <t xml:space="preserve">https://doi.org/10.1093/jeg/lbt008</t>
  </si>
  <si>
    <t xml:space="preserve">Nase, van Assendelft &amp; Remoy (2019). Rent Premiums and Vertical Sorting. JREFE, 59(3), 419–460.</t>
  </si>
  <si>
    <t xml:space="preserve">Bab 9 dan 10 — 27% premi vertikal berasal dari pemandangan</t>
  </si>
  <si>
    <t xml:space="preserve">https://doi.org/10.1007/s11146-018-9684-x</t>
  </si>
  <si>
    <t xml:space="preserve">Nutt, O. D. (2016). Uncovering the premium for higher floors in office space. Tesis MIT.</t>
  </si>
  <si>
    <t xml:space="preserve">Bab 1 dan 9 — premi lantai positif di 23 dari 25 kota</t>
  </si>
  <si>
    <t xml:space="preserve">https://dspace.mit.edu/handle/1721.1/103450</t>
  </si>
  <si>
    <t xml:space="preserve">Chau, Wong &amp; Yiu (2012). Floor level premium. Journal of Housing and the Built Environment.</t>
  </si>
  <si>
    <t xml:space="preserve">Bab 9 — premi lantai mengecil di ketinggian</t>
  </si>
  <si>
    <t xml:space="preserve">https://doi.org/10.1007/s10901-010-9203-8</t>
  </si>
  <si>
    <t xml:space="preserve">Danton &amp; Himbert (2018). Residential vertical rent curves. Journal of Urban Economics, 107, 89–100.</t>
  </si>
  <si>
    <t xml:space="preserve">Bab 9 — bentuk kurva sewa vertikal</t>
  </si>
  <si>
    <t xml:space="preserve">https://doi.org/10.1016/j.jue.2018.08.002</t>
  </si>
  <si>
    <t xml:space="preserve">C. DATA PASAR (dasar angka dummy)</t>
  </si>
  <si>
    <t xml:space="preserve">Colliers Indonesia — laporan kuartalan pasar perkantoran Jakarta</t>
  </si>
  <si>
    <t xml:space="preserve">Tarif dasar dan service charge</t>
  </si>
  <si>
    <t xml:space="preserve">https://www.colliers.com/en-id/research/colliers-quarterly-property-market-report-q1-2026-jakarta-office</t>
  </si>
  <si>
    <t xml:space="preserve">Ringkasan laporan Colliers Kuartal II 2026</t>
  </si>
  <si>
    <t xml:space="preserve">CBD ~Rp218.000; luar CBD ~Rp168.000; Premium ~Rp347.000; Grade A CBD ~Rp234.000; SC CBD ~Rp86.000</t>
  </si>
  <si>
    <t xml:space="preserve">https://realestateasia.com/commercial-office/news/jakarta-non-cbd-office-rents-rise-2-3-annually-until-2029</t>
  </si>
  <si>
    <t xml:space="preserve">Cushman &amp; Wakefield — Jakarta MarketBeat</t>
  </si>
  <si>
    <t xml:space="preserve">Base rent CBD ~Rp176.700/m2/bln Q1 2026</t>
  </si>
  <si>
    <t xml:space="preserve">https://www.cushmanwakefield.com/en/indonesia/insights/jakarta-marketbeat</t>
  </si>
  <si>
    <t xml:space="preserve">CBRE Indonesia — Jakarta Office Market Outlook Q1 2026</t>
  </si>
  <si>
    <t xml:space="preserve">Proyeksi pertumbuhan sewa 2–3% per tahun; okupansi CBD menuju ~78%</t>
  </si>
  <si>
    <t xml:space="preserve">https://indonesia.cbre.com/insights/reports/jakarta-office-market-outlook-q1-2026</t>
  </si>
  <si>
    <t xml:space="preserve">JLL — Jakarta Office Market Dynamics</t>
  </si>
  <si>
    <t xml:space="preserve">Kondisi pasokan dan permintaan</t>
  </si>
  <si>
    <t xml:space="preserve">https://www.jll.com/en-sea/insights/market-dynamics/jakarta-office</t>
  </si>
  <si>
    <t xml:space="preserve">Bank Indonesia — Perkembangan Properti Komersial</t>
  </si>
  <si>
    <t xml:space="preserve">Indeks harga dan permintaan properti komersial</t>
  </si>
  <si>
    <t xml:space="preserve">https://www.bi.go.id/id/publikasi/laporan/default.aspx?kategori=perkembangan+properti+komersial</t>
  </si>
  <si>
    <t xml:space="preserve">D. PERATURAN PERPAJAKAN</t>
  </si>
  <si>
    <t xml:space="preserve">Peraturan Pemerintah Nomor 34 Tahun 2017</t>
  </si>
  <si>
    <t xml:space="preserve">PPh Final 10%; jumlah bruto termasuk service charge</t>
  </si>
  <si>
    <t xml:space="preserve">https://peraturan.bpk.go.id/Download/54909/PP%20Nomor%2034%20Tahun%202017.pdf</t>
  </si>
  <si>
    <t xml:space="preserve">Salinan PP 34/2017 pada JDIH Kementerian Keuangan</t>
  </si>
  <si>
    <t xml:space="preserve">Naskah resmi</t>
  </si>
  <si>
    <t xml:space="preserve">https://jdih.kemenkeu.go.id/dok/pp-34-tahun-2017/view</t>
  </si>
  <si>
    <t xml:space="preserve">DDTCNews — Pajak atas Persewaan Tanah dan/atau Bangunan</t>
  </si>
  <si>
    <t xml:space="preserve">Penerapan praktis tarif dan DPP</t>
  </si>
  <si>
    <t xml:space="preserve">https://news.ddtc.co.id/literasi/kelas-pajak/39122/pajak-atas-persewaan-tanah-danatau-bangunan</t>
  </si>
  <si>
    <t xml:space="preserve">Ortax — Pengenaan Pajak Final atas Sewa Tanah dan/atau Bangunan</t>
  </si>
  <si>
    <t xml:space="preserve">Cakupan jumlah bruto</t>
  </si>
  <si>
    <t xml:space="preserve">https://ortax.org/pajak-penghasilan-atas-persewaan-tanah-dan-atau-bangunan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</si>
</sst>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#,##0;\(#,##0\);\-"/>
    <numFmt numFmtId="167" formatCode="0.0%"/>
    <numFmt numFmtId="168" formatCode="0.0000"/>
    <numFmt numFmtId="169" formatCode="0.0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8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2E5C8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4" hidden="false" customHeight="tru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/>
      <c r="B4" s="5"/>
    </row>
    <row r="5" customFormat="false" ht="42" hidden="false" customHeight="true" outlineLevel="0" collapsed="false">
      <c r="A5" s="4" t="s">
        <v>2</v>
      </c>
      <c r="B5" s="6" t="s">
        <v>3</v>
      </c>
    </row>
    <row r="6" customFormat="false" ht="15" hidden="false" customHeight="false" outlineLevel="0" collapsed="false">
      <c r="A6" s="4"/>
      <c r="B6" s="5"/>
    </row>
    <row r="7" customFormat="false" ht="15" hidden="false" customHeight="false" outlineLevel="0" collapsed="false">
      <c r="A7" s="7" t="s">
        <v>4</v>
      </c>
      <c r="B7" s="8"/>
    </row>
    <row r="8" customFormat="false" ht="15" hidden="false" customHeight="false" outlineLevel="0" collapsed="false">
      <c r="A8" s="4" t="s">
        <v>5</v>
      </c>
      <c r="B8" s="5" t="s">
        <v>6</v>
      </c>
    </row>
    <row r="9" customFormat="false" ht="15" hidden="false" customHeight="false" outlineLevel="0" collapsed="false">
      <c r="A9" s="4" t="s">
        <v>7</v>
      </c>
      <c r="B9" s="5" t="s">
        <v>8</v>
      </c>
    </row>
    <row r="10" customFormat="false" ht="15" hidden="false" customHeight="false" outlineLevel="0" collapsed="false">
      <c r="A10" s="4" t="s">
        <v>9</v>
      </c>
      <c r="B10" s="5" t="s">
        <v>10</v>
      </c>
    </row>
    <row r="11" customFormat="false" ht="15" hidden="false" customHeight="false" outlineLevel="0" collapsed="false">
      <c r="A11" s="4" t="s">
        <v>11</v>
      </c>
      <c r="B11" s="5" t="s">
        <v>12</v>
      </c>
    </row>
    <row r="12" customFormat="false" ht="15" hidden="false" customHeight="false" outlineLevel="0" collapsed="false">
      <c r="A12" s="4"/>
      <c r="B12" s="5"/>
    </row>
    <row r="13" customFormat="false" ht="42" hidden="false" customHeight="true" outlineLevel="0" collapsed="false">
      <c r="A13" s="4" t="s">
        <v>13</v>
      </c>
      <c r="B13" s="6" t="s">
        <v>14</v>
      </c>
    </row>
    <row r="14" customFormat="false" ht="15" hidden="false" customHeight="false" outlineLevel="0" collapsed="false">
      <c r="A14" s="4"/>
      <c r="B14" s="5"/>
    </row>
    <row r="15" customFormat="false" ht="15" hidden="false" customHeight="false" outlineLevel="0" collapsed="false">
      <c r="A15" s="7" t="s">
        <v>15</v>
      </c>
      <c r="B15" s="8"/>
    </row>
    <row r="16" customFormat="false" ht="15" hidden="false" customHeight="false" outlineLevel="0" collapsed="false">
      <c r="A16" s="4" t="s">
        <v>16</v>
      </c>
      <c r="B16" s="5" t="s">
        <v>17</v>
      </c>
    </row>
    <row r="17" customFormat="false" ht="23.85" hidden="false" customHeight="false" outlineLevel="0" collapsed="false">
      <c r="A17" s="4" t="s">
        <v>18</v>
      </c>
      <c r="B17" s="5" t="s">
        <v>19</v>
      </c>
    </row>
    <row r="18" customFormat="false" ht="15" hidden="false" customHeight="false" outlineLevel="0" collapsed="false">
      <c r="A18" s="4" t="s">
        <v>20</v>
      </c>
      <c r="B18" s="5" t="s">
        <v>21</v>
      </c>
    </row>
    <row r="19" customFormat="false" ht="15" hidden="false" customHeight="false" outlineLevel="0" collapsed="false">
      <c r="A19" s="4" t="s">
        <v>22</v>
      </c>
      <c r="B19" s="5" t="s">
        <v>23</v>
      </c>
    </row>
    <row r="20" customFormat="false" ht="15" hidden="false" customHeight="false" outlineLevel="0" collapsed="false">
      <c r="A20" s="4" t="s">
        <v>24</v>
      </c>
      <c r="B20" s="5" t="s">
        <v>25</v>
      </c>
    </row>
    <row r="21" customFormat="false" ht="15" hidden="false" customHeight="false" outlineLevel="0" collapsed="false">
      <c r="A21" s="4" t="s">
        <v>26</v>
      </c>
      <c r="B21" s="5" t="s">
        <v>27</v>
      </c>
    </row>
    <row r="22" customFormat="false" ht="15" hidden="false" customHeight="false" outlineLevel="0" collapsed="false">
      <c r="A22" s="4" t="s">
        <v>28</v>
      </c>
      <c r="B22" s="5" t="s">
        <v>29</v>
      </c>
    </row>
    <row r="23" customFormat="false" ht="15" hidden="false" customHeight="false" outlineLevel="0" collapsed="false">
      <c r="A23" s="4" t="s">
        <v>30</v>
      </c>
      <c r="B23" s="5" t="s">
        <v>31</v>
      </c>
    </row>
    <row r="24" customFormat="false" ht="15" hidden="false" customHeight="false" outlineLevel="0" collapsed="false">
      <c r="A24" s="4"/>
      <c r="B24" s="5"/>
    </row>
    <row r="25" customFormat="false" ht="15" hidden="false" customHeight="false" outlineLevel="0" collapsed="false">
      <c r="A25" s="7" t="s">
        <v>32</v>
      </c>
      <c r="B25" s="8"/>
    </row>
    <row r="26" customFormat="false" ht="15" hidden="false" customHeight="false" outlineLevel="0" collapsed="false">
      <c r="A26" s="4" t="s">
        <v>33</v>
      </c>
      <c r="B26" s="5" t="s">
        <v>34</v>
      </c>
    </row>
    <row r="27" customFormat="false" ht="15" hidden="false" customHeight="false" outlineLevel="0" collapsed="false">
      <c r="A27" s="4" t="s">
        <v>35</v>
      </c>
      <c r="B27" s="5" t="s">
        <v>36</v>
      </c>
    </row>
    <row r="28" customFormat="false" ht="15" hidden="false" customHeight="false" outlineLevel="0" collapsed="false">
      <c r="A28" s="4" t="s">
        <v>37</v>
      </c>
      <c r="B28" s="5" t="s">
        <v>38</v>
      </c>
    </row>
    <row r="29" customFormat="false" ht="15" hidden="false" customHeight="false" outlineLevel="0" collapsed="false">
      <c r="A29" s="4" t="s">
        <v>39</v>
      </c>
      <c r="B29" s="5" t="s">
        <v>40</v>
      </c>
    </row>
    <row r="30" customFormat="false" ht="15" hidden="false" customHeight="false" outlineLevel="0" collapsed="false">
      <c r="A30" s="4" t="s">
        <v>41</v>
      </c>
      <c r="B30" s="5" t="s">
        <v>42</v>
      </c>
    </row>
    <row r="31" customFormat="false" ht="15" hidden="false" customHeight="false" outlineLevel="0" collapsed="false">
      <c r="A31" s="4" t="s">
        <v>43</v>
      </c>
      <c r="B31" s="5" t="s">
        <v>44</v>
      </c>
    </row>
    <row r="32" customFormat="false" ht="15" hidden="false" customHeight="false" outlineLevel="0" collapsed="false">
      <c r="A32" s="4" t="s">
        <v>45</v>
      </c>
      <c r="B32" s="5" t="s">
        <v>46</v>
      </c>
    </row>
    <row r="33" customFormat="false" ht="15" hidden="false" customHeight="false" outlineLevel="0" collapsed="false">
      <c r="A33" s="4" t="s">
        <v>47</v>
      </c>
      <c r="B33" s="5" t="s">
        <v>48</v>
      </c>
    </row>
    <row r="34" customFormat="false" ht="15" hidden="false" customHeight="false" outlineLevel="0" collapsed="false">
      <c r="A34" s="4" t="s">
        <v>49</v>
      </c>
      <c r="B34" s="5" t="s">
        <v>50</v>
      </c>
    </row>
    <row r="35" customFormat="false" ht="15" hidden="false" customHeight="false" outlineLevel="0" collapsed="false">
      <c r="A35" s="4" t="s">
        <v>51</v>
      </c>
      <c r="B35" s="5" t="s">
        <v>52</v>
      </c>
    </row>
    <row r="36" customFormat="false" ht="15" hidden="false" customHeight="false" outlineLevel="0" collapsed="false">
      <c r="A36" s="4" t="s">
        <v>53</v>
      </c>
      <c r="B36" s="5" t="s">
        <v>54</v>
      </c>
    </row>
    <row r="37" customFormat="false" ht="15" hidden="false" customHeight="false" outlineLevel="0" collapsed="false">
      <c r="A37" s="4"/>
      <c r="B37" s="5"/>
    </row>
    <row r="38" customFormat="false" ht="42" hidden="false" customHeight="true" outlineLevel="0" collapsed="false">
      <c r="A38" s="4" t="s">
        <v>55</v>
      </c>
      <c r="B38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24" hidden="false" customHeight="true" outlineLevel="0" collapsed="false">
      <c r="A1" s="1" t="s">
        <v>57</v>
      </c>
      <c r="B1" s="2"/>
      <c r="C1" s="2"/>
      <c r="D1" s="2"/>
    </row>
    <row r="2" customFormat="false" ht="15" hidden="false" customHeight="false" outlineLevel="0" collapsed="false">
      <c r="A2" s="9" t="s">
        <v>58</v>
      </c>
    </row>
    <row r="4" customFormat="false" ht="15" hidden="false" customHeight="false" outlineLevel="0" collapsed="false">
      <c r="A4" s="7" t="s">
        <v>59</v>
      </c>
      <c r="B4" s="8"/>
      <c r="C4" s="8"/>
      <c r="D4" s="8"/>
    </row>
    <row r="5" customFormat="false" ht="15" hidden="false" customHeight="false" outlineLevel="0" collapsed="false">
      <c r="A5" s="10" t="s">
        <v>60</v>
      </c>
      <c r="B5" s="11" t="s">
        <v>61</v>
      </c>
      <c r="D5" s="12" t="s">
        <v>62</v>
      </c>
    </row>
    <row r="6" customFormat="false" ht="15" hidden="false" customHeight="false" outlineLevel="0" collapsed="false">
      <c r="A6" s="10" t="s">
        <v>63</v>
      </c>
      <c r="B6" s="11" t="s">
        <v>64</v>
      </c>
    </row>
    <row r="7" customFormat="false" ht="15" hidden="false" customHeight="false" outlineLevel="0" collapsed="false">
      <c r="A7" s="10" t="s">
        <v>65</v>
      </c>
      <c r="B7" s="11" t="s">
        <v>66</v>
      </c>
    </row>
    <row r="8" customFormat="false" ht="15" hidden="false" customHeight="false" outlineLevel="0" collapsed="false">
      <c r="A8" s="10" t="s">
        <v>67</v>
      </c>
      <c r="B8" s="11" t="s">
        <v>68</v>
      </c>
    </row>
    <row r="9" customFormat="false" ht="15" hidden="false" customHeight="false" outlineLevel="0" collapsed="false">
      <c r="A9" s="10" t="s">
        <v>69</v>
      </c>
      <c r="B9" s="13" t="n">
        <v>30</v>
      </c>
    </row>
    <row r="10" customFormat="false" ht="15" hidden="false" customHeight="false" outlineLevel="0" collapsed="false">
      <c r="A10" s="10" t="s">
        <v>70</v>
      </c>
      <c r="B10" s="13" t="n">
        <v>3</v>
      </c>
    </row>
    <row r="11" customFormat="false" ht="15" hidden="false" customHeight="false" outlineLevel="0" collapsed="false">
      <c r="A11" s="10" t="s">
        <v>71</v>
      </c>
      <c r="B11" s="14" t="n">
        <v>48000</v>
      </c>
    </row>
    <row r="12" customFormat="false" ht="15" hidden="false" customHeight="false" outlineLevel="0" collapsed="false">
      <c r="A12" s="10" t="s">
        <v>72</v>
      </c>
      <c r="B12" s="14" t="n">
        <v>33600</v>
      </c>
      <c r="D12" s="12" t="s">
        <v>73</v>
      </c>
    </row>
    <row r="13" customFormat="false" ht="15" hidden="false" customHeight="false" outlineLevel="0" collapsed="false">
      <c r="A13" s="10" t="s">
        <v>74</v>
      </c>
      <c r="B13" s="11" t="s">
        <v>75</v>
      </c>
      <c r="D13" s="12" t="s">
        <v>76</v>
      </c>
    </row>
    <row r="14" customFormat="false" ht="15" hidden="false" customHeight="false" outlineLevel="0" collapsed="false">
      <c r="A14" s="10" t="s">
        <v>77</v>
      </c>
      <c r="B14" s="15" t="n">
        <v>0.18</v>
      </c>
      <c r="D14" s="12" t="s">
        <v>78</v>
      </c>
    </row>
    <row r="15" customFormat="false" ht="15" hidden="false" customHeight="false" outlineLevel="0" collapsed="false">
      <c r="A15" s="10" t="s">
        <v>79</v>
      </c>
      <c r="B15" s="16" t="n">
        <f aca="false">IFERROR($B$12/$B$11,0)</f>
        <v>0.7</v>
      </c>
      <c r="D15" s="12" t="s">
        <v>80</v>
      </c>
    </row>
    <row r="17" customFormat="false" ht="15" hidden="false" customHeight="false" outlineLevel="0" collapsed="false">
      <c r="A17" s="7" t="s">
        <v>81</v>
      </c>
      <c r="B17" s="8"/>
      <c r="C17" s="8"/>
      <c r="D17" s="8"/>
    </row>
    <row r="18" customFormat="false" ht="15" hidden="false" customHeight="false" outlineLevel="0" collapsed="false">
      <c r="A18" s="10" t="s">
        <v>82</v>
      </c>
      <c r="B18" s="17" t="s">
        <v>83</v>
      </c>
      <c r="D18" s="12" t="s">
        <v>84</v>
      </c>
    </row>
    <row r="19" customFormat="false" ht="15" hidden="false" customHeight="false" outlineLevel="0" collapsed="false">
      <c r="A19" s="10" t="s">
        <v>85</v>
      </c>
      <c r="B19" s="14" t="n">
        <v>184000</v>
      </c>
      <c r="D19" s="12" t="s">
        <v>86</v>
      </c>
    </row>
    <row r="20" customFormat="false" ht="15" hidden="false" customHeight="false" outlineLevel="0" collapsed="false">
      <c r="A20" s="10" t="s">
        <v>87</v>
      </c>
      <c r="B20" s="18" t="n">
        <f aca="false">06_UJI_KELAYAKAN!$C$22</f>
        <v>185515.721556035</v>
      </c>
      <c r="D20" s="12" t="s">
        <v>88</v>
      </c>
    </row>
    <row r="21" customFormat="false" ht="15" hidden="false" customHeight="false" outlineLevel="0" collapsed="false">
      <c r="A21" s="4" t="s">
        <v>89</v>
      </c>
      <c r="B21" s="19" t="n">
        <f aca="false">IF($B$18="OTOMATIS",$B$20,$B$19)</f>
        <v>185515.721556035</v>
      </c>
      <c r="D21" s="12" t="s">
        <v>90</v>
      </c>
    </row>
    <row r="22" customFormat="false" ht="15" hidden="false" customHeight="false" outlineLevel="0" collapsed="false">
      <c r="A22" s="10" t="s">
        <v>91</v>
      </c>
      <c r="B22" s="20" t="n">
        <v>62000</v>
      </c>
      <c r="D22" s="12" t="s">
        <v>92</v>
      </c>
    </row>
    <row r="23" customFormat="false" ht="15" hidden="false" customHeight="false" outlineLevel="0" collapsed="false">
      <c r="A23" s="10" t="s">
        <v>93</v>
      </c>
      <c r="B23" s="14" t="n">
        <v>500</v>
      </c>
      <c r="D23" s="12" t="s">
        <v>94</v>
      </c>
    </row>
    <row r="24" customFormat="false" ht="15" hidden="false" customHeight="false" outlineLevel="0" collapsed="false">
      <c r="A24" s="10" t="s">
        <v>95</v>
      </c>
      <c r="B24" s="11" t="s">
        <v>96</v>
      </c>
      <c r="D24" s="12" t="s">
        <v>97</v>
      </c>
    </row>
    <row r="26" customFormat="false" ht="15" hidden="false" customHeight="false" outlineLevel="0" collapsed="false">
      <c r="A26" s="7" t="s">
        <v>98</v>
      </c>
      <c r="B26" s="8"/>
      <c r="C26" s="8"/>
      <c r="D26" s="8"/>
    </row>
    <row r="27" customFormat="false" ht="15" hidden="false" customHeight="false" outlineLevel="0" collapsed="false">
      <c r="A27" s="10" t="s">
        <v>99</v>
      </c>
      <c r="B27" s="15" t="n">
        <v>0.9</v>
      </c>
      <c r="D27" s="12" t="s">
        <v>100</v>
      </c>
    </row>
    <row r="28" customFormat="false" ht="15" hidden="false" customHeight="false" outlineLevel="0" collapsed="false">
      <c r="A28" s="10" t="s">
        <v>101</v>
      </c>
      <c r="B28" s="15" t="n">
        <v>0.15</v>
      </c>
      <c r="D28" s="12" t="s">
        <v>100</v>
      </c>
    </row>
    <row r="29" customFormat="false" ht="15" hidden="false" customHeight="false" outlineLevel="0" collapsed="false">
      <c r="A29" s="10" t="s">
        <v>102</v>
      </c>
      <c r="B29" s="15" t="n">
        <v>0.08</v>
      </c>
      <c r="D29" s="12" t="s">
        <v>103</v>
      </c>
    </row>
    <row r="30" customFormat="false" ht="15" hidden="false" customHeight="false" outlineLevel="0" collapsed="false">
      <c r="A30" s="10" t="s">
        <v>104</v>
      </c>
      <c r="B30" s="14" t="n">
        <v>234000</v>
      </c>
      <c r="D30" s="12" t="s">
        <v>105</v>
      </c>
    </row>
    <row r="31" customFormat="false" ht="15" hidden="false" customHeight="false" outlineLevel="0" collapsed="false">
      <c r="A31" s="10" t="s">
        <v>106</v>
      </c>
      <c r="B31" s="21" t="n">
        <v>0.8</v>
      </c>
      <c r="D31" s="12" t="s">
        <v>107</v>
      </c>
    </row>
    <row r="32" customFormat="false" ht="15" hidden="false" customHeight="false" outlineLevel="0" collapsed="false">
      <c r="A32" s="10" t="s">
        <v>108</v>
      </c>
      <c r="B32" s="21" t="n">
        <v>1.35</v>
      </c>
      <c r="D32" s="12" t="s">
        <v>107</v>
      </c>
    </row>
    <row r="34" customFormat="false" ht="15" hidden="false" customHeight="false" outlineLevel="0" collapsed="false">
      <c r="A34" s="7" t="s">
        <v>109</v>
      </c>
      <c r="B34" s="8"/>
      <c r="C34" s="8"/>
      <c r="D34" s="8"/>
    </row>
    <row r="35" customFormat="false" ht="15" hidden="false" customHeight="false" outlineLevel="0" collapsed="false">
      <c r="A35" s="10" t="s">
        <v>110</v>
      </c>
      <c r="B35" s="17" t="s">
        <v>111</v>
      </c>
      <c r="D35" s="12" t="s">
        <v>112</v>
      </c>
    </row>
    <row r="36" customFormat="false" ht="15" hidden="false" customHeight="false" outlineLevel="0" collapsed="false">
      <c r="A36" s="10" t="s">
        <v>113</v>
      </c>
      <c r="B36" s="21" t="n">
        <v>0.085</v>
      </c>
      <c r="D36" s="12" t="s">
        <v>114</v>
      </c>
    </row>
    <row r="37" customFormat="false" ht="15" hidden="false" customHeight="false" outlineLevel="0" collapsed="false">
      <c r="A37" s="10" t="s">
        <v>115</v>
      </c>
      <c r="B37" s="13" t="n">
        <v>9</v>
      </c>
      <c r="D37" s="12" t="s">
        <v>116</v>
      </c>
    </row>
    <row r="38" customFormat="false" ht="15" hidden="false" customHeight="false" outlineLevel="0" collapsed="false">
      <c r="A38" s="10" t="s">
        <v>117</v>
      </c>
      <c r="B38" s="13" t="n">
        <v>5</v>
      </c>
      <c r="D38" s="12" t="s">
        <v>118</v>
      </c>
    </row>
    <row r="39" customFormat="false" ht="15" hidden="false" customHeight="false" outlineLevel="0" collapsed="false">
      <c r="A39" s="10" t="s">
        <v>119</v>
      </c>
      <c r="B39" s="15" t="n">
        <v>0.27</v>
      </c>
      <c r="D39" s="12" t="s">
        <v>120</v>
      </c>
    </row>
    <row r="41" customFormat="false" ht="15" hidden="false" customHeight="false" outlineLevel="0" collapsed="false">
      <c r="A41" s="7" t="s">
        <v>121</v>
      </c>
      <c r="B41" s="8"/>
      <c r="C41" s="8"/>
      <c r="D41" s="8"/>
    </row>
    <row r="42" customFormat="false" ht="15" hidden="false" customHeight="false" outlineLevel="0" collapsed="false">
      <c r="A42" s="10" t="s">
        <v>122</v>
      </c>
      <c r="B42" s="14" t="n">
        <v>250</v>
      </c>
      <c r="D42" s="12" t="s">
        <v>123</v>
      </c>
    </row>
    <row r="43" customFormat="false" ht="15" hidden="false" customHeight="false" outlineLevel="0" collapsed="false">
      <c r="A43" s="10" t="s">
        <v>124</v>
      </c>
      <c r="B43" s="21" t="n">
        <v>0.04</v>
      </c>
      <c r="D43" s="12" t="s">
        <v>125</v>
      </c>
    </row>
    <row r="44" customFormat="false" ht="15" hidden="false" customHeight="false" outlineLevel="0" collapsed="false">
      <c r="A44" s="10" t="s">
        <v>126</v>
      </c>
      <c r="B44" s="21" t="n">
        <v>0.92</v>
      </c>
    </row>
    <row r="45" customFormat="false" ht="15" hidden="false" customHeight="false" outlineLevel="0" collapsed="false">
      <c r="A45" s="10" t="s">
        <v>127</v>
      </c>
      <c r="B45" s="21" t="n">
        <v>1.08</v>
      </c>
    </row>
    <row r="47" customFormat="false" ht="15" hidden="false" customHeight="false" outlineLevel="0" collapsed="false">
      <c r="A47" s="7" t="s">
        <v>128</v>
      </c>
      <c r="B47" s="8"/>
      <c r="C47" s="8"/>
      <c r="D47" s="8"/>
    </row>
    <row r="48" customFormat="false" ht="15" hidden="false" customHeight="false" outlineLevel="0" collapsed="false">
      <c r="A48" s="10" t="s">
        <v>129</v>
      </c>
      <c r="B48" s="14" t="n">
        <v>700000000000</v>
      </c>
      <c r="D48" s="12" t="s">
        <v>130</v>
      </c>
    </row>
    <row r="49" customFormat="false" ht="15" hidden="false" customHeight="false" outlineLevel="0" collapsed="false">
      <c r="A49" s="10" t="s">
        <v>131</v>
      </c>
      <c r="B49" s="22" t="n">
        <v>0.07</v>
      </c>
      <c r="D49" s="12" t="s">
        <v>132</v>
      </c>
    </row>
    <row r="50" customFormat="false" ht="15" hidden="false" customHeight="false" outlineLevel="0" collapsed="false">
      <c r="A50" s="10" t="s">
        <v>133</v>
      </c>
      <c r="B50" s="14" t="n">
        <v>26400000000</v>
      </c>
      <c r="D50" s="12" t="s">
        <v>134</v>
      </c>
    </row>
    <row r="51" customFormat="false" ht="15" hidden="false" customHeight="false" outlineLevel="0" collapsed="false">
      <c r="A51" s="10" t="s">
        <v>135</v>
      </c>
      <c r="B51" s="14" t="n">
        <v>4800000000</v>
      </c>
      <c r="D51" s="12" t="s">
        <v>136</v>
      </c>
    </row>
    <row r="52" customFormat="false" ht="15" hidden="false" customHeight="false" outlineLevel="0" collapsed="false">
      <c r="A52" s="10" t="s">
        <v>137</v>
      </c>
      <c r="B52" s="14" t="n">
        <v>6720000000</v>
      </c>
      <c r="D52" s="12" t="s">
        <v>138</v>
      </c>
    </row>
    <row r="53" customFormat="false" ht="15" hidden="false" customHeight="false" outlineLevel="0" collapsed="false">
      <c r="A53" s="10" t="s">
        <v>139</v>
      </c>
      <c r="B53" s="14" t="n">
        <v>22000000000</v>
      </c>
      <c r="D53" s="12" t="s">
        <v>138</v>
      </c>
    </row>
    <row r="54" customFormat="false" ht="15" hidden="false" customHeight="false" outlineLevel="0" collapsed="false">
      <c r="A54" s="10" t="s">
        <v>140</v>
      </c>
      <c r="B54" s="23" t="n">
        <v>0.78</v>
      </c>
      <c r="D54" s="12" t="s">
        <v>141</v>
      </c>
    </row>
    <row r="55" customFormat="false" ht="15" hidden="false" customHeight="false" outlineLevel="0" collapsed="false">
      <c r="A55" s="10" t="s">
        <v>142</v>
      </c>
      <c r="B55" s="24" t="n">
        <v>0.015</v>
      </c>
      <c r="D55" s="12" t="s">
        <v>143</v>
      </c>
    </row>
    <row r="56" customFormat="false" ht="15" hidden="false" customHeight="false" outlineLevel="0" collapsed="false">
      <c r="A56" s="10" t="s">
        <v>144</v>
      </c>
      <c r="B56" s="15" t="n">
        <v>0.11</v>
      </c>
      <c r="D56" s="12" t="s">
        <v>145</v>
      </c>
    </row>
    <row r="57" customFormat="false" ht="15" hidden="false" customHeight="false" outlineLevel="0" collapsed="false">
      <c r="A57" s="10" t="s">
        <v>146</v>
      </c>
      <c r="B57" s="15" t="n">
        <v>0.03</v>
      </c>
      <c r="D57" s="12" t="s">
        <v>147</v>
      </c>
    </row>
    <row r="58" customFormat="false" ht="15" hidden="false" customHeight="false" outlineLevel="0" collapsed="false">
      <c r="A58" s="10" t="s">
        <v>148</v>
      </c>
      <c r="B58" s="15" t="n">
        <v>0.03</v>
      </c>
      <c r="D58" s="12" t="s">
        <v>149</v>
      </c>
    </row>
    <row r="60" customFormat="false" ht="15" hidden="false" customHeight="false" outlineLevel="0" collapsed="false">
      <c r="A60" s="7" t="s">
        <v>150</v>
      </c>
      <c r="B60" s="8"/>
      <c r="C60" s="8"/>
      <c r="D60" s="8"/>
    </row>
    <row r="61" customFormat="false" ht="15" hidden="false" customHeight="false" outlineLevel="0" collapsed="false">
      <c r="A61" s="10" t="s">
        <v>151</v>
      </c>
      <c r="B61" s="23" t="n">
        <v>0.1</v>
      </c>
      <c r="D61" s="12" t="s">
        <v>152</v>
      </c>
    </row>
    <row r="62" customFormat="false" ht="15" hidden="false" customHeight="false" outlineLevel="0" collapsed="false">
      <c r="A62" s="10" t="s">
        <v>153</v>
      </c>
      <c r="B62" s="23" t="n">
        <v>0.11</v>
      </c>
      <c r="D62" s="12" t="s">
        <v>154</v>
      </c>
    </row>
    <row r="64" customFormat="false" ht="15" hidden="false" customHeight="false" outlineLevel="0" collapsed="false">
      <c r="A64" s="7" t="s">
        <v>155</v>
      </c>
      <c r="B64" s="8"/>
      <c r="C64" s="8"/>
      <c r="D64" s="8"/>
    </row>
    <row r="65" customFormat="false" ht="15" hidden="false" customHeight="false" outlineLevel="0" collapsed="false">
      <c r="A65" s="10" t="s">
        <v>156</v>
      </c>
      <c r="B65" s="13" t="n">
        <v>36</v>
      </c>
      <c r="D65" s="12" t="s">
        <v>157</v>
      </c>
    </row>
    <row r="66" customFormat="false" ht="15" hidden="false" customHeight="false" outlineLevel="0" collapsed="false">
      <c r="A66" s="10" t="s">
        <v>158</v>
      </c>
      <c r="B66" s="13" t="n">
        <v>2</v>
      </c>
      <c r="D66" s="12" t="s">
        <v>157</v>
      </c>
    </row>
    <row r="67" customFormat="false" ht="15" hidden="false" customHeight="false" outlineLevel="0" collapsed="false">
      <c r="A67" s="10" t="s">
        <v>159</v>
      </c>
      <c r="B67" s="14" t="n">
        <v>250000</v>
      </c>
      <c r="D67" s="12" t="s">
        <v>160</v>
      </c>
    </row>
    <row r="68" customFormat="false" ht="15" hidden="false" customHeight="false" outlineLevel="0" collapsed="false">
      <c r="A68" s="10" t="s">
        <v>161</v>
      </c>
      <c r="B68" s="15" t="n">
        <v>0.02</v>
      </c>
    </row>
    <row r="69" customFormat="false" ht="15" hidden="false" customHeight="false" outlineLevel="0" collapsed="false">
      <c r="A69" s="10" t="s">
        <v>162</v>
      </c>
      <c r="B69" s="14" t="n">
        <v>3500000</v>
      </c>
      <c r="D69" s="12" t="s">
        <v>163</v>
      </c>
    </row>
    <row r="70" customFormat="false" ht="15" hidden="false" customHeight="false" outlineLevel="0" collapsed="false">
      <c r="A70" s="10" t="s">
        <v>164</v>
      </c>
      <c r="B70" s="13" t="n">
        <v>60</v>
      </c>
      <c r="D70" s="12" t="s">
        <v>165</v>
      </c>
    </row>
    <row r="72" customFormat="false" ht="15" hidden="false" customHeight="false" outlineLevel="0" collapsed="false">
      <c r="A72" s="7" t="s">
        <v>166</v>
      </c>
      <c r="B72" s="8"/>
      <c r="C72" s="8"/>
      <c r="D72" s="8"/>
    </row>
    <row r="73" customFormat="false" ht="15" hidden="false" customHeight="false" outlineLevel="0" collapsed="false">
      <c r="A73" s="10" t="s">
        <v>167</v>
      </c>
      <c r="B73" s="21" t="n">
        <v>-0.6</v>
      </c>
      <c r="D73" s="12" t="s">
        <v>168</v>
      </c>
    </row>
    <row r="75" customFormat="false" ht="15" hidden="false" customHeight="false" outlineLevel="0" collapsed="false">
      <c r="A75" s="7" t="s">
        <v>169</v>
      </c>
      <c r="B75" s="8"/>
      <c r="C75" s="8"/>
      <c r="D75" s="8"/>
    </row>
    <row r="76" customFormat="false" ht="15" hidden="false" customHeight="false" outlineLevel="0" collapsed="false">
      <c r="A76" s="10" t="s">
        <v>170</v>
      </c>
      <c r="B76" s="24" t="n">
        <v>0.005</v>
      </c>
    </row>
    <row r="77" customFormat="false" ht="15" hidden="false" customHeight="false" outlineLevel="0" collapsed="false">
      <c r="A77" s="10" t="s">
        <v>171</v>
      </c>
      <c r="B77" s="15" t="n">
        <v>0.15</v>
      </c>
    </row>
    <row r="78" customFormat="false" ht="15" hidden="false" customHeight="false" outlineLevel="0" collapsed="false">
      <c r="A78" s="10" t="s">
        <v>172</v>
      </c>
      <c r="B78" s="15" t="n">
        <v>0.25</v>
      </c>
    </row>
    <row r="79" customFormat="false" ht="15" hidden="false" customHeight="false" outlineLevel="0" collapsed="false">
      <c r="A79" s="10" t="s">
        <v>173</v>
      </c>
      <c r="B79" s="24" t="n">
        <v>0.005</v>
      </c>
    </row>
    <row r="80" customFormat="false" ht="15" hidden="false" customHeight="false" outlineLevel="0" collapsed="false">
      <c r="A80" s="10" t="s">
        <v>174</v>
      </c>
      <c r="B80" s="21" t="n">
        <v>0.9</v>
      </c>
    </row>
    <row r="81" customFormat="false" ht="15" hidden="false" customHeight="false" outlineLevel="0" collapsed="false">
      <c r="A81" s="10" t="s">
        <v>175</v>
      </c>
      <c r="B81" s="21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9" min="5" style="0" width="14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26"/>
  </cols>
  <sheetData>
    <row r="1" customFormat="false" ht="24" hidden="false" customHeight="true" outlineLevel="0" collapsed="false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9" t="s">
        <v>177</v>
      </c>
    </row>
    <row r="4" customFormat="false" ht="31.5" hidden="false" customHeight="true" outlineLevel="0" collapsed="false">
      <c r="A4" s="25" t="s">
        <v>178</v>
      </c>
      <c r="B4" s="25" t="s">
        <v>179</v>
      </c>
      <c r="C4" s="25" t="s">
        <v>180</v>
      </c>
      <c r="D4" s="25" t="s">
        <v>181</v>
      </c>
      <c r="E4" s="25" t="s">
        <v>182</v>
      </c>
      <c r="F4" s="25" t="s">
        <v>183</v>
      </c>
      <c r="G4" s="25" t="s">
        <v>184</v>
      </c>
      <c r="H4" s="25" t="s">
        <v>185</v>
      </c>
      <c r="I4" s="25" t="s">
        <v>186</v>
      </c>
      <c r="J4" s="25" t="s">
        <v>187</v>
      </c>
      <c r="K4" s="25" t="s">
        <v>188</v>
      </c>
    </row>
    <row r="5" customFormat="false" ht="15" hidden="false" customHeight="false" outlineLevel="0" collapsed="false">
      <c r="A5" s="11" t="s">
        <v>61</v>
      </c>
      <c r="B5" s="11" t="s">
        <v>189</v>
      </c>
      <c r="C5" s="13" t="n">
        <v>3</v>
      </c>
      <c r="D5" s="14" t="n">
        <v>290</v>
      </c>
      <c r="E5" s="11" t="s">
        <v>190</v>
      </c>
      <c r="F5" s="11" t="s">
        <v>191</v>
      </c>
      <c r="G5" s="11" t="s">
        <v>192</v>
      </c>
      <c r="H5" s="11" t="s">
        <v>193</v>
      </c>
      <c r="I5" s="11" t="s">
        <v>194</v>
      </c>
      <c r="J5" s="11" t="s">
        <v>195</v>
      </c>
      <c r="K5" s="11"/>
    </row>
    <row r="6" customFormat="false" ht="15" hidden="false" customHeight="false" outlineLevel="0" collapsed="false">
      <c r="A6" s="11" t="s">
        <v>61</v>
      </c>
      <c r="B6" s="11" t="s">
        <v>196</v>
      </c>
      <c r="C6" s="13" t="n">
        <v>3</v>
      </c>
      <c r="D6" s="14" t="n">
        <v>290</v>
      </c>
      <c r="E6" s="11" t="s">
        <v>190</v>
      </c>
      <c r="F6" s="11" t="s">
        <v>193</v>
      </c>
      <c r="G6" s="11" t="s">
        <v>192</v>
      </c>
      <c r="H6" s="11" t="s">
        <v>193</v>
      </c>
      <c r="I6" s="11" t="s">
        <v>194</v>
      </c>
      <c r="J6" s="11" t="s">
        <v>197</v>
      </c>
      <c r="K6" s="11"/>
    </row>
    <row r="7" customFormat="false" ht="15" hidden="false" customHeight="false" outlineLevel="0" collapsed="false">
      <c r="A7" s="11" t="s">
        <v>61</v>
      </c>
      <c r="B7" s="11" t="s">
        <v>198</v>
      </c>
      <c r="C7" s="13" t="n">
        <v>3</v>
      </c>
      <c r="D7" s="14" t="n">
        <v>310</v>
      </c>
      <c r="E7" s="11" t="s">
        <v>190</v>
      </c>
      <c r="F7" s="11" t="s">
        <v>193</v>
      </c>
      <c r="G7" s="11" t="s">
        <v>192</v>
      </c>
      <c r="H7" s="11" t="s">
        <v>199</v>
      </c>
      <c r="I7" s="11" t="s">
        <v>194</v>
      </c>
      <c r="J7" s="11" t="s">
        <v>200</v>
      </c>
      <c r="K7" s="11"/>
    </row>
    <row r="8" customFormat="false" ht="15" hidden="false" customHeight="false" outlineLevel="0" collapsed="false">
      <c r="A8" s="11" t="s">
        <v>61</v>
      </c>
      <c r="B8" s="11" t="s">
        <v>201</v>
      </c>
      <c r="C8" s="13" t="n">
        <v>3</v>
      </c>
      <c r="D8" s="14" t="n">
        <v>310</v>
      </c>
      <c r="E8" s="11" t="s">
        <v>202</v>
      </c>
      <c r="F8" s="11" t="s">
        <v>193</v>
      </c>
      <c r="G8" s="11" t="s">
        <v>203</v>
      </c>
      <c r="H8" s="11" t="s">
        <v>199</v>
      </c>
      <c r="I8" s="11" t="s">
        <v>194</v>
      </c>
      <c r="J8" s="11" t="s">
        <v>197</v>
      </c>
      <c r="K8" s="11"/>
    </row>
    <row r="9" customFormat="false" ht="15" hidden="false" customHeight="false" outlineLevel="0" collapsed="false">
      <c r="A9" s="11" t="s">
        <v>61</v>
      </c>
      <c r="B9" s="11" t="s">
        <v>204</v>
      </c>
      <c r="C9" s="13" t="n">
        <v>4</v>
      </c>
      <c r="D9" s="14" t="n">
        <v>575</v>
      </c>
      <c r="E9" s="11" t="s">
        <v>202</v>
      </c>
      <c r="F9" s="11" t="s">
        <v>205</v>
      </c>
      <c r="G9" s="11" t="s">
        <v>203</v>
      </c>
      <c r="H9" s="11" t="s">
        <v>199</v>
      </c>
      <c r="I9" s="11" t="s">
        <v>194</v>
      </c>
      <c r="J9" s="11" t="s">
        <v>206</v>
      </c>
      <c r="K9" s="11"/>
    </row>
    <row r="10" customFormat="false" ht="15" hidden="false" customHeight="false" outlineLevel="0" collapsed="false">
      <c r="A10" s="11" t="s">
        <v>61</v>
      </c>
      <c r="B10" s="11" t="s">
        <v>207</v>
      </c>
      <c r="C10" s="13" t="n">
        <v>4</v>
      </c>
      <c r="D10" s="14" t="n">
        <v>625</v>
      </c>
      <c r="E10" s="11" t="s">
        <v>202</v>
      </c>
      <c r="F10" s="11" t="s">
        <v>205</v>
      </c>
      <c r="G10" s="11" t="s">
        <v>192</v>
      </c>
      <c r="H10" s="11" t="s">
        <v>193</v>
      </c>
      <c r="I10" s="11" t="s">
        <v>194</v>
      </c>
      <c r="J10" s="11" t="s">
        <v>208</v>
      </c>
      <c r="K10" s="11"/>
    </row>
    <row r="11" customFormat="false" ht="15" hidden="false" customHeight="false" outlineLevel="0" collapsed="false">
      <c r="A11" s="11" t="s">
        <v>61</v>
      </c>
      <c r="B11" s="11" t="s">
        <v>209</v>
      </c>
      <c r="C11" s="13" t="n">
        <v>5</v>
      </c>
      <c r="D11" s="14" t="n">
        <v>575</v>
      </c>
      <c r="E11" s="11" t="s">
        <v>190</v>
      </c>
      <c r="F11" s="11" t="s">
        <v>205</v>
      </c>
      <c r="G11" s="11" t="s">
        <v>210</v>
      </c>
      <c r="H11" s="11" t="s">
        <v>193</v>
      </c>
      <c r="I11" s="11" t="s">
        <v>194</v>
      </c>
      <c r="J11" s="11" t="s">
        <v>211</v>
      </c>
      <c r="K11" s="11"/>
    </row>
    <row r="12" customFormat="false" ht="15" hidden="false" customHeight="false" outlineLevel="0" collapsed="false">
      <c r="A12" s="11" t="s">
        <v>61</v>
      </c>
      <c r="B12" s="11" t="s">
        <v>212</v>
      </c>
      <c r="C12" s="13" t="n">
        <v>5</v>
      </c>
      <c r="D12" s="14" t="n">
        <v>625</v>
      </c>
      <c r="E12" s="11" t="s">
        <v>190</v>
      </c>
      <c r="F12" s="11" t="s">
        <v>193</v>
      </c>
      <c r="G12" s="11" t="s">
        <v>192</v>
      </c>
      <c r="H12" s="11" t="s">
        <v>199</v>
      </c>
      <c r="I12" s="11" t="s">
        <v>194</v>
      </c>
      <c r="J12" s="11" t="s">
        <v>213</v>
      </c>
      <c r="K12" s="11"/>
    </row>
    <row r="13" customFormat="false" ht="15" hidden="false" customHeight="false" outlineLevel="0" collapsed="false">
      <c r="A13" s="11" t="s">
        <v>61</v>
      </c>
      <c r="B13" s="11" t="s">
        <v>214</v>
      </c>
      <c r="C13" s="13" t="n">
        <v>6</v>
      </c>
      <c r="D13" s="14" t="n">
        <v>535</v>
      </c>
      <c r="E13" s="11" t="s">
        <v>190</v>
      </c>
      <c r="F13" s="11" t="s">
        <v>205</v>
      </c>
      <c r="G13" s="11" t="s">
        <v>210</v>
      </c>
      <c r="H13" s="11" t="s">
        <v>193</v>
      </c>
      <c r="I13" s="11" t="s">
        <v>194</v>
      </c>
      <c r="J13" s="11" t="s">
        <v>215</v>
      </c>
      <c r="K13" s="11"/>
    </row>
    <row r="14" customFormat="false" ht="15" hidden="false" customHeight="false" outlineLevel="0" collapsed="false">
      <c r="A14" s="11" t="s">
        <v>61</v>
      </c>
      <c r="B14" s="11" t="s">
        <v>216</v>
      </c>
      <c r="C14" s="13" t="n">
        <v>6</v>
      </c>
      <c r="D14" s="14" t="n">
        <v>665</v>
      </c>
      <c r="E14" s="11" t="s">
        <v>202</v>
      </c>
      <c r="F14" s="11" t="s">
        <v>193</v>
      </c>
      <c r="G14" s="11" t="s">
        <v>210</v>
      </c>
      <c r="H14" s="11" t="s">
        <v>217</v>
      </c>
      <c r="I14" s="11" t="s">
        <v>194</v>
      </c>
      <c r="J14" s="11" t="s">
        <v>200</v>
      </c>
      <c r="K14" s="11"/>
    </row>
    <row r="15" customFormat="false" ht="15" hidden="false" customHeight="false" outlineLevel="0" collapsed="false">
      <c r="A15" s="11" t="s">
        <v>61</v>
      </c>
      <c r="B15" s="11" t="s">
        <v>218</v>
      </c>
      <c r="C15" s="13" t="n">
        <v>7</v>
      </c>
      <c r="D15" s="14" t="n">
        <v>355</v>
      </c>
      <c r="E15" s="11" t="s">
        <v>190</v>
      </c>
      <c r="F15" s="11" t="s">
        <v>205</v>
      </c>
      <c r="G15" s="11" t="s">
        <v>192</v>
      </c>
      <c r="H15" s="11" t="s">
        <v>217</v>
      </c>
      <c r="I15" s="11" t="s">
        <v>219</v>
      </c>
      <c r="J15" s="11"/>
      <c r="K15" s="11"/>
    </row>
    <row r="16" customFormat="false" ht="15" hidden="false" customHeight="false" outlineLevel="0" collapsed="false">
      <c r="A16" s="11" t="s">
        <v>61</v>
      </c>
      <c r="B16" s="11" t="s">
        <v>220</v>
      </c>
      <c r="C16" s="13" t="n">
        <v>7</v>
      </c>
      <c r="D16" s="14" t="n">
        <v>390</v>
      </c>
      <c r="E16" s="11" t="s">
        <v>221</v>
      </c>
      <c r="F16" s="11" t="s">
        <v>191</v>
      </c>
      <c r="G16" s="11" t="s">
        <v>210</v>
      </c>
      <c r="H16" s="11" t="s">
        <v>199</v>
      </c>
      <c r="I16" s="11" t="s">
        <v>194</v>
      </c>
      <c r="J16" s="11" t="s">
        <v>222</v>
      </c>
      <c r="K16" s="11"/>
    </row>
    <row r="17" customFormat="false" ht="15" hidden="false" customHeight="false" outlineLevel="0" collapsed="false">
      <c r="A17" s="11" t="s">
        <v>61</v>
      </c>
      <c r="B17" s="11" t="s">
        <v>223</v>
      </c>
      <c r="C17" s="13" t="n">
        <v>7</v>
      </c>
      <c r="D17" s="14" t="n">
        <v>455</v>
      </c>
      <c r="E17" s="11" t="s">
        <v>190</v>
      </c>
      <c r="F17" s="11" t="s">
        <v>205</v>
      </c>
      <c r="G17" s="11" t="s">
        <v>192</v>
      </c>
      <c r="H17" s="11" t="s">
        <v>217</v>
      </c>
      <c r="I17" s="11" t="s">
        <v>194</v>
      </c>
      <c r="J17" s="11" t="s">
        <v>211</v>
      </c>
      <c r="K17" s="11"/>
    </row>
    <row r="18" customFormat="false" ht="15" hidden="false" customHeight="false" outlineLevel="0" collapsed="false">
      <c r="A18" s="11" t="s">
        <v>61</v>
      </c>
      <c r="B18" s="11" t="s">
        <v>224</v>
      </c>
      <c r="C18" s="13" t="n">
        <v>8</v>
      </c>
      <c r="D18" s="14" t="n">
        <v>380</v>
      </c>
      <c r="E18" s="11" t="s">
        <v>190</v>
      </c>
      <c r="F18" s="11" t="s">
        <v>191</v>
      </c>
      <c r="G18" s="11" t="s">
        <v>210</v>
      </c>
      <c r="H18" s="11" t="s">
        <v>199</v>
      </c>
      <c r="I18" s="11" t="s">
        <v>194</v>
      </c>
      <c r="J18" s="11" t="s">
        <v>225</v>
      </c>
      <c r="K18" s="11"/>
    </row>
    <row r="19" customFormat="false" ht="15" hidden="false" customHeight="false" outlineLevel="0" collapsed="false">
      <c r="A19" s="11" t="s">
        <v>61</v>
      </c>
      <c r="B19" s="11" t="s">
        <v>226</v>
      </c>
      <c r="C19" s="13" t="n">
        <v>8</v>
      </c>
      <c r="D19" s="14" t="n">
        <v>445</v>
      </c>
      <c r="E19" s="11" t="s">
        <v>202</v>
      </c>
      <c r="F19" s="11" t="s">
        <v>191</v>
      </c>
      <c r="G19" s="11" t="s">
        <v>203</v>
      </c>
      <c r="H19" s="11" t="s">
        <v>193</v>
      </c>
      <c r="I19" s="11" t="s">
        <v>194</v>
      </c>
      <c r="J19" s="11" t="s">
        <v>225</v>
      </c>
      <c r="K19" s="11"/>
    </row>
    <row r="20" customFormat="false" ht="15" hidden="false" customHeight="false" outlineLevel="0" collapsed="false">
      <c r="A20" s="11" t="s">
        <v>61</v>
      </c>
      <c r="B20" s="11" t="s">
        <v>227</v>
      </c>
      <c r="C20" s="13" t="n">
        <v>8</v>
      </c>
      <c r="D20" s="14" t="n">
        <v>375</v>
      </c>
      <c r="E20" s="11" t="s">
        <v>190</v>
      </c>
      <c r="F20" s="11" t="s">
        <v>205</v>
      </c>
      <c r="G20" s="11" t="s">
        <v>228</v>
      </c>
      <c r="H20" s="11" t="s">
        <v>193</v>
      </c>
      <c r="I20" s="11" t="s">
        <v>194</v>
      </c>
      <c r="J20" s="11" t="s">
        <v>225</v>
      </c>
      <c r="K20" s="11"/>
    </row>
    <row r="21" customFormat="false" ht="15" hidden="false" customHeight="false" outlineLevel="0" collapsed="false">
      <c r="A21" s="11" t="s">
        <v>61</v>
      </c>
      <c r="B21" s="11" t="s">
        <v>229</v>
      </c>
      <c r="C21" s="13" t="n">
        <v>9</v>
      </c>
      <c r="D21" s="14" t="n">
        <v>290</v>
      </c>
      <c r="E21" s="11" t="s">
        <v>202</v>
      </c>
      <c r="F21" s="11" t="s">
        <v>205</v>
      </c>
      <c r="G21" s="11" t="s">
        <v>228</v>
      </c>
      <c r="H21" s="11" t="s">
        <v>193</v>
      </c>
      <c r="I21" s="11" t="s">
        <v>194</v>
      </c>
      <c r="J21" s="11" t="s">
        <v>222</v>
      </c>
      <c r="K21" s="11"/>
    </row>
    <row r="22" customFormat="false" ht="15" hidden="false" customHeight="false" outlineLevel="0" collapsed="false">
      <c r="A22" s="11" t="s">
        <v>61</v>
      </c>
      <c r="B22" s="11" t="s">
        <v>230</v>
      </c>
      <c r="C22" s="13" t="n">
        <v>9</v>
      </c>
      <c r="D22" s="14" t="n">
        <v>285</v>
      </c>
      <c r="E22" s="11" t="s">
        <v>221</v>
      </c>
      <c r="F22" s="11" t="s">
        <v>191</v>
      </c>
      <c r="G22" s="11" t="s">
        <v>210</v>
      </c>
      <c r="H22" s="11" t="s">
        <v>193</v>
      </c>
      <c r="I22" s="11" t="s">
        <v>194</v>
      </c>
      <c r="J22" s="11" t="s">
        <v>195</v>
      </c>
      <c r="K22" s="11"/>
    </row>
    <row r="23" customFormat="false" ht="15" hidden="false" customHeight="false" outlineLevel="0" collapsed="false">
      <c r="A23" s="11" t="s">
        <v>61</v>
      </c>
      <c r="B23" s="11" t="s">
        <v>231</v>
      </c>
      <c r="C23" s="13" t="n">
        <v>9</v>
      </c>
      <c r="D23" s="14" t="n">
        <v>290</v>
      </c>
      <c r="E23" s="11" t="s">
        <v>221</v>
      </c>
      <c r="F23" s="11" t="s">
        <v>193</v>
      </c>
      <c r="G23" s="11" t="s">
        <v>203</v>
      </c>
      <c r="H23" s="11" t="s">
        <v>193</v>
      </c>
      <c r="I23" s="11" t="s">
        <v>194</v>
      </c>
      <c r="J23" s="11" t="s">
        <v>232</v>
      </c>
      <c r="K23" s="11"/>
    </row>
    <row r="24" customFormat="false" ht="15" hidden="false" customHeight="false" outlineLevel="0" collapsed="false">
      <c r="A24" s="11" t="s">
        <v>61</v>
      </c>
      <c r="B24" s="11" t="s">
        <v>233</v>
      </c>
      <c r="C24" s="13" t="n">
        <v>9</v>
      </c>
      <c r="D24" s="14" t="n">
        <v>335</v>
      </c>
      <c r="E24" s="11" t="s">
        <v>190</v>
      </c>
      <c r="F24" s="11" t="s">
        <v>234</v>
      </c>
      <c r="G24" s="11" t="s">
        <v>192</v>
      </c>
      <c r="H24" s="11" t="s">
        <v>193</v>
      </c>
      <c r="I24" s="11" t="s">
        <v>194</v>
      </c>
      <c r="J24" s="11" t="s">
        <v>195</v>
      </c>
      <c r="K24" s="11"/>
    </row>
    <row r="25" customFormat="false" ht="15" hidden="false" customHeight="false" outlineLevel="0" collapsed="false">
      <c r="A25" s="11" t="s">
        <v>61</v>
      </c>
      <c r="B25" s="11" t="s">
        <v>235</v>
      </c>
      <c r="C25" s="13" t="n">
        <v>10</v>
      </c>
      <c r="D25" s="14" t="n">
        <v>255</v>
      </c>
      <c r="E25" s="11" t="s">
        <v>202</v>
      </c>
      <c r="F25" s="11" t="s">
        <v>205</v>
      </c>
      <c r="G25" s="11" t="s">
        <v>210</v>
      </c>
      <c r="H25" s="11" t="s">
        <v>193</v>
      </c>
      <c r="I25" s="11" t="s">
        <v>194</v>
      </c>
      <c r="J25" s="11" t="s">
        <v>236</v>
      </c>
      <c r="K25" s="11"/>
    </row>
    <row r="26" customFormat="false" ht="15" hidden="false" customHeight="false" outlineLevel="0" collapsed="false">
      <c r="A26" s="11" t="s">
        <v>61</v>
      </c>
      <c r="B26" s="11" t="s">
        <v>237</v>
      </c>
      <c r="C26" s="13" t="n">
        <v>10</v>
      </c>
      <c r="D26" s="14" t="n">
        <v>300</v>
      </c>
      <c r="E26" s="11" t="s">
        <v>221</v>
      </c>
      <c r="F26" s="11" t="s">
        <v>193</v>
      </c>
      <c r="G26" s="11" t="s">
        <v>203</v>
      </c>
      <c r="H26" s="11" t="s">
        <v>217</v>
      </c>
      <c r="I26" s="11" t="s">
        <v>194</v>
      </c>
      <c r="J26" s="11" t="s">
        <v>238</v>
      </c>
      <c r="K26" s="11"/>
    </row>
    <row r="27" customFormat="false" ht="15" hidden="false" customHeight="false" outlineLevel="0" collapsed="false">
      <c r="A27" s="11" t="s">
        <v>61</v>
      </c>
      <c r="B27" s="11" t="s">
        <v>239</v>
      </c>
      <c r="C27" s="13" t="n">
        <v>10</v>
      </c>
      <c r="D27" s="14" t="n">
        <v>330</v>
      </c>
      <c r="E27" s="11" t="s">
        <v>202</v>
      </c>
      <c r="F27" s="11" t="s">
        <v>191</v>
      </c>
      <c r="G27" s="11" t="s">
        <v>192</v>
      </c>
      <c r="H27" s="11" t="s">
        <v>240</v>
      </c>
      <c r="I27" s="11" t="s">
        <v>194</v>
      </c>
      <c r="J27" s="11" t="s">
        <v>213</v>
      </c>
      <c r="K27" s="11"/>
    </row>
    <row r="28" customFormat="false" ht="15" hidden="false" customHeight="false" outlineLevel="0" collapsed="false">
      <c r="A28" s="11" t="s">
        <v>61</v>
      </c>
      <c r="B28" s="11" t="s">
        <v>241</v>
      </c>
      <c r="C28" s="13" t="n">
        <v>10</v>
      </c>
      <c r="D28" s="14" t="n">
        <v>315</v>
      </c>
      <c r="E28" s="11" t="s">
        <v>202</v>
      </c>
      <c r="F28" s="11" t="s">
        <v>205</v>
      </c>
      <c r="G28" s="11" t="s">
        <v>203</v>
      </c>
      <c r="H28" s="11" t="s">
        <v>240</v>
      </c>
      <c r="I28" s="11" t="s">
        <v>194</v>
      </c>
      <c r="J28" s="11" t="s">
        <v>238</v>
      </c>
      <c r="K28" s="11"/>
    </row>
    <row r="29" customFormat="false" ht="15" hidden="false" customHeight="false" outlineLevel="0" collapsed="false">
      <c r="A29" s="11" t="s">
        <v>61</v>
      </c>
      <c r="B29" s="11" t="s">
        <v>242</v>
      </c>
      <c r="C29" s="13" t="n">
        <v>11</v>
      </c>
      <c r="D29" s="14" t="n">
        <v>440</v>
      </c>
      <c r="E29" s="11" t="s">
        <v>221</v>
      </c>
      <c r="F29" s="11" t="s">
        <v>205</v>
      </c>
      <c r="G29" s="11" t="s">
        <v>203</v>
      </c>
      <c r="H29" s="11" t="s">
        <v>193</v>
      </c>
      <c r="I29" s="11" t="s">
        <v>194</v>
      </c>
      <c r="J29" s="11" t="s">
        <v>238</v>
      </c>
      <c r="K29" s="11"/>
    </row>
    <row r="30" customFormat="false" ht="15" hidden="false" customHeight="false" outlineLevel="0" collapsed="false">
      <c r="A30" s="11" t="s">
        <v>61</v>
      </c>
      <c r="B30" s="11" t="s">
        <v>243</v>
      </c>
      <c r="C30" s="13" t="n">
        <v>11</v>
      </c>
      <c r="D30" s="14" t="n">
        <v>310</v>
      </c>
      <c r="E30" s="11" t="s">
        <v>221</v>
      </c>
      <c r="F30" s="11" t="s">
        <v>244</v>
      </c>
      <c r="G30" s="11" t="s">
        <v>203</v>
      </c>
      <c r="H30" s="11" t="s">
        <v>193</v>
      </c>
      <c r="I30" s="11" t="s">
        <v>194</v>
      </c>
      <c r="J30" s="11" t="s">
        <v>211</v>
      </c>
      <c r="K30" s="11"/>
    </row>
    <row r="31" customFormat="false" ht="15" hidden="false" customHeight="false" outlineLevel="0" collapsed="false">
      <c r="A31" s="11" t="s">
        <v>61</v>
      </c>
      <c r="B31" s="11" t="s">
        <v>245</v>
      </c>
      <c r="C31" s="13" t="n">
        <v>11</v>
      </c>
      <c r="D31" s="14" t="n">
        <v>450</v>
      </c>
      <c r="E31" s="11" t="s">
        <v>221</v>
      </c>
      <c r="F31" s="11" t="s">
        <v>234</v>
      </c>
      <c r="G31" s="11" t="s">
        <v>192</v>
      </c>
      <c r="H31" s="11" t="s">
        <v>217</v>
      </c>
      <c r="I31" s="11" t="s">
        <v>194</v>
      </c>
      <c r="J31" s="11" t="s">
        <v>206</v>
      </c>
      <c r="K31" s="11"/>
    </row>
    <row r="32" customFormat="false" ht="15" hidden="false" customHeight="false" outlineLevel="0" collapsed="false">
      <c r="A32" s="11" t="s">
        <v>61</v>
      </c>
      <c r="B32" s="11" t="s">
        <v>246</v>
      </c>
      <c r="C32" s="13" t="n">
        <v>12</v>
      </c>
      <c r="D32" s="14" t="n">
        <v>320</v>
      </c>
      <c r="E32" s="11" t="s">
        <v>190</v>
      </c>
      <c r="F32" s="11" t="s">
        <v>191</v>
      </c>
      <c r="G32" s="11" t="s">
        <v>210</v>
      </c>
      <c r="H32" s="11" t="s">
        <v>199</v>
      </c>
      <c r="I32" s="11" t="s">
        <v>194</v>
      </c>
      <c r="J32" s="11" t="s">
        <v>195</v>
      </c>
      <c r="K32" s="11"/>
    </row>
    <row r="33" customFormat="false" ht="15" hidden="false" customHeight="false" outlineLevel="0" collapsed="false">
      <c r="A33" s="11" t="s">
        <v>61</v>
      </c>
      <c r="B33" s="11" t="s">
        <v>247</v>
      </c>
      <c r="C33" s="13" t="n">
        <v>12</v>
      </c>
      <c r="D33" s="14" t="n">
        <v>315</v>
      </c>
      <c r="E33" s="11" t="s">
        <v>221</v>
      </c>
      <c r="F33" s="11" t="s">
        <v>244</v>
      </c>
      <c r="G33" s="11" t="s">
        <v>210</v>
      </c>
      <c r="H33" s="11" t="s">
        <v>193</v>
      </c>
      <c r="I33" s="11" t="s">
        <v>219</v>
      </c>
      <c r="J33" s="11"/>
      <c r="K33" s="11"/>
    </row>
    <row r="34" customFormat="false" ht="15" hidden="false" customHeight="false" outlineLevel="0" collapsed="false">
      <c r="A34" s="11" t="s">
        <v>61</v>
      </c>
      <c r="B34" s="11" t="s">
        <v>248</v>
      </c>
      <c r="C34" s="13" t="n">
        <v>12</v>
      </c>
      <c r="D34" s="14" t="n">
        <v>240</v>
      </c>
      <c r="E34" s="11" t="s">
        <v>202</v>
      </c>
      <c r="F34" s="11" t="s">
        <v>193</v>
      </c>
      <c r="G34" s="11" t="s">
        <v>210</v>
      </c>
      <c r="H34" s="11" t="s">
        <v>240</v>
      </c>
      <c r="I34" s="11" t="s">
        <v>219</v>
      </c>
      <c r="J34" s="11"/>
      <c r="K34" s="11"/>
    </row>
    <row r="35" customFormat="false" ht="15" hidden="false" customHeight="false" outlineLevel="0" collapsed="false">
      <c r="A35" s="11" t="s">
        <v>61</v>
      </c>
      <c r="B35" s="11" t="s">
        <v>249</v>
      </c>
      <c r="C35" s="13" t="n">
        <v>12</v>
      </c>
      <c r="D35" s="14" t="n">
        <v>325</v>
      </c>
      <c r="E35" s="11" t="s">
        <v>190</v>
      </c>
      <c r="F35" s="11" t="s">
        <v>234</v>
      </c>
      <c r="G35" s="11" t="s">
        <v>210</v>
      </c>
      <c r="H35" s="11" t="s">
        <v>199</v>
      </c>
      <c r="I35" s="11" t="s">
        <v>194</v>
      </c>
      <c r="J35" s="11" t="s">
        <v>238</v>
      </c>
      <c r="K35" s="11"/>
    </row>
    <row r="36" customFormat="false" ht="15" hidden="false" customHeight="false" outlineLevel="0" collapsed="false">
      <c r="A36" s="11" t="s">
        <v>61</v>
      </c>
      <c r="B36" s="11" t="s">
        <v>250</v>
      </c>
      <c r="C36" s="13" t="n">
        <v>13</v>
      </c>
      <c r="D36" s="14" t="n">
        <v>595</v>
      </c>
      <c r="E36" s="11" t="s">
        <v>190</v>
      </c>
      <c r="F36" s="11" t="s">
        <v>205</v>
      </c>
      <c r="G36" s="11" t="s">
        <v>228</v>
      </c>
      <c r="H36" s="11" t="s">
        <v>193</v>
      </c>
      <c r="I36" s="11" t="s">
        <v>219</v>
      </c>
      <c r="J36" s="11"/>
      <c r="K36" s="11"/>
    </row>
    <row r="37" customFormat="false" ht="15" hidden="false" customHeight="false" outlineLevel="0" collapsed="false">
      <c r="A37" s="11" t="s">
        <v>61</v>
      </c>
      <c r="B37" s="11" t="s">
        <v>251</v>
      </c>
      <c r="C37" s="13" t="n">
        <v>13</v>
      </c>
      <c r="D37" s="14" t="n">
        <v>605</v>
      </c>
      <c r="E37" s="11" t="s">
        <v>221</v>
      </c>
      <c r="F37" s="11" t="s">
        <v>234</v>
      </c>
      <c r="G37" s="11" t="s">
        <v>210</v>
      </c>
      <c r="H37" s="11" t="s">
        <v>193</v>
      </c>
      <c r="I37" s="11" t="s">
        <v>194</v>
      </c>
      <c r="J37" s="11" t="s">
        <v>252</v>
      </c>
      <c r="K37" s="11"/>
    </row>
    <row r="38" customFormat="false" ht="15" hidden="false" customHeight="false" outlineLevel="0" collapsed="false">
      <c r="A38" s="11" t="s">
        <v>61</v>
      </c>
      <c r="B38" s="11" t="s">
        <v>253</v>
      </c>
      <c r="C38" s="13" t="n">
        <v>14</v>
      </c>
      <c r="D38" s="14" t="n">
        <v>575</v>
      </c>
      <c r="E38" s="11" t="s">
        <v>190</v>
      </c>
      <c r="F38" s="11" t="s">
        <v>191</v>
      </c>
      <c r="G38" s="11" t="s">
        <v>203</v>
      </c>
      <c r="H38" s="11" t="s">
        <v>193</v>
      </c>
      <c r="I38" s="11" t="s">
        <v>194</v>
      </c>
      <c r="J38" s="11" t="s">
        <v>232</v>
      </c>
      <c r="K38" s="11"/>
    </row>
    <row r="39" customFormat="false" ht="15" hidden="false" customHeight="false" outlineLevel="0" collapsed="false">
      <c r="A39" s="11" t="s">
        <v>61</v>
      </c>
      <c r="B39" s="11" t="s">
        <v>254</v>
      </c>
      <c r="C39" s="13" t="n">
        <v>14</v>
      </c>
      <c r="D39" s="14" t="n">
        <v>625</v>
      </c>
      <c r="E39" s="11" t="s">
        <v>221</v>
      </c>
      <c r="F39" s="11" t="s">
        <v>234</v>
      </c>
      <c r="G39" s="11" t="s">
        <v>192</v>
      </c>
      <c r="H39" s="11" t="s">
        <v>193</v>
      </c>
      <c r="I39" s="11" t="s">
        <v>219</v>
      </c>
      <c r="J39" s="11"/>
      <c r="K39" s="11"/>
    </row>
    <row r="40" customFormat="false" ht="15" hidden="false" customHeight="false" outlineLevel="0" collapsed="false">
      <c r="A40" s="11" t="s">
        <v>61</v>
      </c>
      <c r="B40" s="11" t="s">
        <v>255</v>
      </c>
      <c r="C40" s="13" t="n">
        <v>15</v>
      </c>
      <c r="D40" s="14" t="n">
        <v>630</v>
      </c>
      <c r="E40" s="11" t="s">
        <v>190</v>
      </c>
      <c r="F40" s="11" t="s">
        <v>205</v>
      </c>
      <c r="G40" s="11" t="s">
        <v>203</v>
      </c>
      <c r="H40" s="11" t="s">
        <v>193</v>
      </c>
      <c r="I40" s="11" t="s">
        <v>194</v>
      </c>
      <c r="J40" s="11" t="s">
        <v>236</v>
      </c>
      <c r="K40" s="11"/>
    </row>
    <row r="41" customFormat="false" ht="15" hidden="false" customHeight="false" outlineLevel="0" collapsed="false">
      <c r="A41" s="11" t="s">
        <v>61</v>
      </c>
      <c r="B41" s="11" t="s">
        <v>256</v>
      </c>
      <c r="C41" s="13" t="n">
        <v>15</v>
      </c>
      <c r="D41" s="14" t="n">
        <v>570</v>
      </c>
      <c r="E41" s="11" t="s">
        <v>221</v>
      </c>
      <c r="F41" s="11" t="s">
        <v>205</v>
      </c>
      <c r="G41" s="11" t="s">
        <v>192</v>
      </c>
      <c r="H41" s="11" t="s">
        <v>199</v>
      </c>
      <c r="I41" s="11" t="s">
        <v>194</v>
      </c>
      <c r="J41" s="11" t="s">
        <v>257</v>
      </c>
      <c r="K41" s="11"/>
    </row>
    <row r="42" customFormat="false" ht="15" hidden="false" customHeight="false" outlineLevel="0" collapsed="false">
      <c r="A42" s="11" t="s">
        <v>61</v>
      </c>
      <c r="B42" s="11" t="s">
        <v>258</v>
      </c>
      <c r="C42" s="13" t="n">
        <v>16</v>
      </c>
      <c r="D42" s="14" t="n">
        <v>410</v>
      </c>
      <c r="E42" s="11" t="s">
        <v>221</v>
      </c>
      <c r="F42" s="11" t="s">
        <v>205</v>
      </c>
      <c r="G42" s="11" t="s">
        <v>210</v>
      </c>
      <c r="H42" s="11" t="s">
        <v>193</v>
      </c>
      <c r="I42" s="11" t="s">
        <v>194</v>
      </c>
      <c r="J42" s="11" t="s">
        <v>252</v>
      </c>
      <c r="K42" s="11"/>
    </row>
    <row r="43" customFormat="false" ht="15" hidden="false" customHeight="false" outlineLevel="0" collapsed="false">
      <c r="A43" s="11" t="s">
        <v>61</v>
      </c>
      <c r="B43" s="11" t="s">
        <v>259</v>
      </c>
      <c r="C43" s="13" t="n">
        <v>16</v>
      </c>
      <c r="D43" s="14" t="n">
        <v>375</v>
      </c>
      <c r="E43" s="11" t="s">
        <v>221</v>
      </c>
      <c r="F43" s="11" t="s">
        <v>191</v>
      </c>
      <c r="G43" s="11" t="s">
        <v>192</v>
      </c>
      <c r="H43" s="11" t="s">
        <v>217</v>
      </c>
      <c r="I43" s="11" t="s">
        <v>194</v>
      </c>
      <c r="J43" s="11" t="s">
        <v>238</v>
      </c>
      <c r="K43" s="11"/>
    </row>
    <row r="44" customFormat="false" ht="15" hidden="false" customHeight="false" outlineLevel="0" collapsed="false">
      <c r="A44" s="11" t="s">
        <v>61</v>
      </c>
      <c r="B44" s="11" t="s">
        <v>260</v>
      </c>
      <c r="C44" s="13" t="n">
        <v>16</v>
      </c>
      <c r="D44" s="14" t="n">
        <v>415</v>
      </c>
      <c r="E44" s="11" t="s">
        <v>221</v>
      </c>
      <c r="F44" s="11" t="s">
        <v>193</v>
      </c>
      <c r="G44" s="11" t="s">
        <v>210</v>
      </c>
      <c r="H44" s="11" t="s">
        <v>193</v>
      </c>
      <c r="I44" s="11" t="s">
        <v>194</v>
      </c>
      <c r="J44" s="11" t="s">
        <v>232</v>
      </c>
      <c r="K44" s="11"/>
    </row>
    <row r="45" customFormat="false" ht="15" hidden="false" customHeight="false" outlineLevel="0" collapsed="false">
      <c r="A45" s="11" t="s">
        <v>61</v>
      </c>
      <c r="B45" s="11" t="s">
        <v>261</v>
      </c>
      <c r="C45" s="13" t="n">
        <v>17</v>
      </c>
      <c r="D45" s="14" t="n">
        <v>645</v>
      </c>
      <c r="E45" s="11" t="s">
        <v>221</v>
      </c>
      <c r="F45" s="11" t="s">
        <v>191</v>
      </c>
      <c r="G45" s="11" t="s">
        <v>192</v>
      </c>
      <c r="H45" s="11" t="s">
        <v>193</v>
      </c>
      <c r="I45" s="11" t="s">
        <v>194</v>
      </c>
      <c r="J45" s="11" t="s">
        <v>197</v>
      </c>
      <c r="K45" s="11"/>
    </row>
    <row r="46" customFormat="false" ht="15" hidden="false" customHeight="false" outlineLevel="0" collapsed="false">
      <c r="A46" s="11" t="s">
        <v>61</v>
      </c>
      <c r="B46" s="11" t="s">
        <v>262</v>
      </c>
      <c r="C46" s="13" t="n">
        <v>17</v>
      </c>
      <c r="D46" s="14" t="n">
        <v>555</v>
      </c>
      <c r="E46" s="11" t="s">
        <v>221</v>
      </c>
      <c r="F46" s="11" t="s">
        <v>193</v>
      </c>
      <c r="G46" s="11" t="s">
        <v>210</v>
      </c>
      <c r="H46" s="11" t="s">
        <v>193</v>
      </c>
      <c r="I46" s="11" t="s">
        <v>194</v>
      </c>
      <c r="J46" s="11" t="s">
        <v>236</v>
      </c>
      <c r="K46" s="11"/>
    </row>
    <row r="47" customFormat="false" ht="15" hidden="false" customHeight="false" outlineLevel="0" collapsed="false">
      <c r="A47" s="11" t="s">
        <v>61</v>
      </c>
      <c r="B47" s="11" t="s">
        <v>263</v>
      </c>
      <c r="C47" s="13" t="n">
        <v>18</v>
      </c>
      <c r="D47" s="14" t="n">
        <v>575</v>
      </c>
      <c r="E47" s="11" t="s">
        <v>221</v>
      </c>
      <c r="F47" s="11" t="s">
        <v>205</v>
      </c>
      <c r="G47" s="11" t="s">
        <v>210</v>
      </c>
      <c r="H47" s="11" t="s">
        <v>193</v>
      </c>
      <c r="I47" s="11" t="s">
        <v>194</v>
      </c>
      <c r="J47" s="11" t="s">
        <v>225</v>
      </c>
      <c r="K47" s="11"/>
    </row>
    <row r="48" customFormat="false" ht="15" hidden="false" customHeight="false" outlineLevel="0" collapsed="false">
      <c r="A48" s="11" t="s">
        <v>61</v>
      </c>
      <c r="B48" s="11" t="s">
        <v>264</v>
      </c>
      <c r="C48" s="13" t="n">
        <v>18</v>
      </c>
      <c r="D48" s="14" t="n">
        <v>625</v>
      </c>
      <c r="E48" s="11" t="s">
        <v>221</v>
      </c>
      <c r="F48" s="11" t="s">
        <v>234</v>
      </c>
      <c r="G48" s="11" t="s">
        <v>192</v>
      </c>
      <c r="H48" s="11" t="s">
        <v>193</v>
      </c>
      <c r="I48" s="11" t="s">
        <v>194</v>
      </c>
      <c r="J48" s="11" t="s">
        <v>200</v>
      </c>
      <c r="K48" s="11"/>
    </row>
    <row r="49" customFormat="false" ht="15" hidden="false" customHeight="false" outlineLevel="0" collapsed="false">
      <c r="A49" s="11" t="s">
        <v>61</v>
      </c>
      <c r="B49" s="11" t="s">
        <v>265</v>
      </c>
      <c r="C49" s="13" t="n">
        <v>19</v>
      </c>
      <c r="D49" s="14" t="n">
        <v>670</v>
      </c>
      <c r="E49" s="11" t="s">
        <v>221</v>
      </c>
      <c r="F49" s="11" t="s">
        <v>205</v>
      </c>
      <c r="G49" s="11" t="s">
        <v>192</v>
      </c>
      <c r="H49" s="11" t="s">
        <v>240</v>
      </c>
      <c r="I49" s="11" t="s">
        <v>194</v>
      </c>
      <c r="J49" s="11" t="s">
        <v>195</v>
      </c>
      <c r="K49" s="11"/>
    </row>
    <row r="50" customFormat="false" ht="15" hidden="false" customHeight="false" outlineLevel="0" collapsed="false">
      <c r="A50" s="11" t="s">
        <v>61</v>
      </c>
      <c r="B50" s="11" t="s">
        <v>266</v>
      </c>
      <c r="C50" s="13" t="n">
        <v>19</v>
      </c>
      <c r="D50" s="14" t="n">
        <v>530</v>
      </c>
      <c r="E50" s="11" t="s">
        <v>190</v>
      </c>
      <c r="F50" s="11" t="s">
        <v>234</v>
      </c>
      <c r="G50" s="11" t="s">
        <v>192</v>
      </c>
      <c r="H50" s="11" t="s">
        <v>193</v>
      </c>
      <c r="I50" s="11" t="s">
        <v>194</v>
      </c>
      <c r="J50" s="11" t="s">
        <v>238</v>
      </c>
      <c r="K50" s="11"/>
    </row>
    <row r="51" customFormat="false" ht="15" hidden="false" customHeight="false" outlineLevel="0" collapsed="false">
      <c r="A51" s="11" t="s">
        <v>61</v>
      </c>
      <c r="B51" s="11" t="s">
        <v>267</v>
      </c>
      <c r="C51" s="13" t="n">
        <v>20</v>
      </c>
      <c r="D51" s="14" t="n">
        <v>420</v>
      </c>
      <c r="E51" s="11" t="s">
        <v>190</v>
      </c>
      <c r="F51" s="11" t="s">
        <v>205</v>
      </c>
      <c r="G51" s="11" t="s">
        <v>210</v>
      </c>
      <c r="H51" s="11" t="s">
        <v>193</v>
      </c>
      <c r="I51" s="11" t="s">
        <v>194</v>
      </c>
      <c r="J51" s="11" t="s">
        <v>213</v>
      </c>
      <c r="K51" s="11"/>
    </row>
    <row r="52" customFormat="false" ht="15" hidden="false" customHeight="false" outlineLevel="0" collapsed="false">
      <c r="A52" s="11" t="s">
        <v>61</v>
      </c>
      <c r="B52" s="11" t="s">
        <v>268</v>
      </c>
      <c r="C52" s="13" t="n">
        <v>20</v>
      </c>
      <c r="D52" s="14" t="n">
        <v>410</v>
      </c>
      <c r="E52" s="11" t="s">
        <v>221</v>
      </c>
      <c r="F52" s="11" t="s">
        <v>244</v>
      </c>
      <c r="G52" s="11" t="s">
        <v>210</v>
      </c>
      <c r="H52" s="11" t="s">
        <v>199</v>
      </c>
      <c r="I52" s="11" t="s">
        <v>194</v>
      </c>
      <c r="J52" s="11" t="s">
        <v>222</v>
      </c>
      <c r="K52" s="11"/>
    </row>
    <row r="53" customFormat="false" ht="15" hidden="false" customHeight="false" outlineLevel="0" collapsed="false">
      <c r="A53" s="11" t="s">
        <v>61</v>
      </c>
      <c r="B53" s="11" t="s">
        <v>269</v>
      </c>
      <c r="C53" s="13" t="n">
        <v>20</v>
      </c>
      <c r="D53" s="14" t="n">
        <v>370</v>
      </c>
      <c r="E53" s="11" t="s">
        <v>221</v>
      </c>
      <c r="F53" s="11" t="s">
        <v>234</v>
      </c>
      <c r="G53" s="11" t="s">
        <v>203</v>
      </c>
      <c r="H53" s="11" t="s">
        <v>199</v>
      </c>
      <c r="I53" s="11" t="s">
        <v>194</v>
      </c>
      <c r="J53" s="11" t="s">
        <v>213</v>
      </c>
      <c r="K53" s="11"/>
    </row>
    <row r="54" customFormat="false" ht="15" hidden="false" customHeight="false" outlineLevel="0" collapsed="false">
      <c r="A54" s="11" t="s">
        <v>61</v>
      </c>
      <c r="B54" s="11" t="s">
        <v>270</v>
      </c>
      <c r="C54" s="13" t="n">
        <v>21</v>
      </c>
      <c r="D54" s="14" t="n">
        <v>630</v>
      </c>
      <c r="E54" s="11" t="s">
        <v>221</v>
      </c>
      <c r="F54" s="11" t="s">
        <v>205</v>
      </c>
      <c r="G54" s="11" t="s">
        <v>228</v>
      </c>
      <c r="H54" s="11" t="s">
        <v>199</v>
      </c>
      <c r="I54" s="11" t="s">
        <v>194</v>
      </c>
      <c r="J54" s="11" t="s">
        <v>232</v>
      </c>
      <c r="K54" s="11"/>
    </row>
    <row r="55" customFormat="false" ht="15" hidden="false" customHeight="false" outlineLevel="0" collapsed="false">
      <c r="A55" s="11" t="s">
        <v>61</v>
      </c>
      <c r="B55" s="11" t="s">
        <v>271</v>
      </c>
      <c r="C55" s="13" t="n">
        <v>21</v>
      </c>
      <c r="D55" s="14" t="n">
        <v>570</v>
      </c>
      <c r="E55" s="11" t="s">
        <v>221</v>
      </c>
      <c r="F55" s="11" t="s">
        <v>193</v>
      </c>
      <c r="G55" s="11" t="s">
        <v>203</v>
      </c>
      <c r="H55" s="11" t="s">
        <v>193</v>
      </c>
      <c r="I55" s="11" t="s">
        <v>219</v>
      </c>
      <c r="J55" s="11"/>
      <c r="K55" s="11"/>
    </row>
    <row r="56" customFormat="false" ht="15" hidden="false" customHeight="false" outlineLevel="0" collapsed="false">
      <c r="A56" s="11" t="s">
        <v>61</v>
      </c>
      <c r="B56" s="11" t="s">
        <v>272</v>
      </c>
      <c r="C56" s="13" t="n">
        <v>22</v>
      </c>
      <c r="D56" s="14" t="n">
        <v>1200</v>
      </c>
      <c r="E56" s="11" t="s">
        <v>221</v>
      </c>
      <c r="F56" s="11" t="s">
        <v>205</v>
      </c>
      <c r="G56" s="11" t="s">
        <v>228</v>
      </c>
      <c r="H56" s="11" t="s">
        <v>199</v>
      </c>
      <c r="I56" s="11" t="s">
        <v>194</v>
      </c>
      <c r="J56" s="11" t="s">
        <v>215</v>
      </c>
      <c r="K56" s="11"/>
    </row>
    <row r="57" customFormat="false" ht="15" hidden="false" customHeight="false" outlineLevel="0" collapsed="false">
      <c r="A57" s="11" t="s">
        <v>61</v>
      </c>
      <c r="B57" s="11" t="s">
        <v>273</v>
      </c>
      <c r="C57" s="13" t="n">
        <v>23</v>
      </c>
      <c r="D57" s="14" t="n">
        <v>1200</v>
      </c>
      <c r="E57" s="11" t="s">
        <v>221</v>
      </c>
      <c r="F57" s="11" t="s">
        <v>205</v>
      </c>
      <c r="G57" s="11" t="s">
        <v>210</v>
      </c>
      <c r="H57" s="11" t="s">
        <v>217</v>
      </c>
      <c r="I57" s="11" t="s">
        <v>194</v>
      </c>
      <c r="J57" s="11" t="s">
        <v>222</v>
      </c>
      <c r="K57" s="11"/>
    </row>
    <row r="58" customFormat="false" ht="15" hidden="false" customHeight="false" outlineLevel="0" collapsed="false">
      <c r="A58" s="11" t="s">
        <v>61</v>
      </c>
      <c r="B58" s="11" t="s">
        <v>274</v>
      </c>
      <c r="C58" s="13" t="n">
        <v>24</v>
      </c>
      <c r="D58" s="14" t="n">
        <v>585</v>
      </c>
      <c r="E58" s="11" t="s">
        <v>221</v>
      </c>
      <c r="F58" s="11" t="s">
        <v>205</v>
      </c>
      <c r="G58" s="11" t="s">
        <v>203</v>
      </c>
      <c r="H58" s="11" t="s">
        <v>193</v>
      </c>
      <c r="I58" s="11" t="s">
        <v>194</v>
      </c>
      <c r="J58" s="11" t="s">
        <v>206</v>
      </c>
      <c r="K58" s="11"/>
    </row>
    <row r="59" customFormat="false" ht="15" hidden="false" customHeight="false" outlineLevel="0" collapsed="false">
      <c r="A59" s="11" t="s">
        <v>61</v>
      </c>
      <c r="B59" s="11" t="s">
        <v>275</v>
      </c>
      <c r="C59" s="13" t="n">
        <v>24</v>
      </c>
      <c r="D59" s="14" t="n">
        <v>615</v>
      </c>
      <c r="E59" s="11" t="s">
        <v>221</v>
      </c>
      <c r="F59" s="11" t="s">
        <v>234</v>
      </c>
      <c r="G59" s="11" t="s">
        <v>210</v>
      </c>
      <c r="H59" s="11" t="s">
        <v>193</v>
      </c>
      <c r="I59" s="11" t="s">
        <v>194</v>
      </c>
      <c r="J59" s="11" t="s">
        <v>215</v>
      </c>
      <c r="K59" s="11"/>
    </row>
    <row r="60" customFormat="false" ht="15" hidden="false" customHeight="false" outlineLevel="0" collapsed="false">
      <c r="A60" s="11" t="s">
        <v>61</v>
      </c>
      <c r="B60" s="11" t="s">
        <v>276</v>
      </c>
      <c r="C60" s="13" t="n">
        <v>25</v>
      </c>
      <c r="D60" s="14" t="n">
        <v>570</v>
      </c>
      <c r="E60" s="11" t="s">
        <v>221</v>
      </c>
      <c r="F60" s="11" t="s">
        <v>205</v>
      </c>
      <c r="G60" s="11" t="s">
        <v>203</v>
      </c>
      <c r="H60" s="11" t="s">
        <v>199</v>
      </c>
      <c r="I60" s="11" t="s">
        <v>194</v>
      </c>
      <c r="J60" s="11" t="s">
        <v>200</v>
      </c>
      <c r="K60" s="11"/>
    </row>
    <row r="61" customFormat="false" ht="15" hidden="false" customHeight="false" outlineLevel="0" collapsed="false">
      <c r="A61" s="11" t="s">
        <v>61</v>
      </c>
      <c r="B61" s="11" t="s">
        <v>277</v>
      </c>
      <c r="C61" s="13" t="n">
        <v>25</v>
      </c>
      <c r="D61" s="14" t="n">
        <v>630</v>
      </c>
      <c r="E61" s="11" t="s">
        <v>221</v>
      </c>
      <c r="F61" s="11" t="s">
        <v>205</v>
      </c>
      <c r="G61" s="11" t="s">
        <v>228</v>
      </c>
      <c r="H61" s="11" t="s">
        <v>193</v>
      </c>
      <c r="I61" s="11" t="s">
        <v>194</v>
      </c>
      <c r="J61" s="11" t="s">
        <v>197</v>
      </c>
      <c r="K61" s="11"/>
    </row>
    <row r="62" customFormat="false" ht="15" hidden="false" customHeight="false" outlineLevel="0" collapsed="false">
      <c r="A62" s="11" t="s">
        <v>61</v>
      </c>
      <c r="B62" s="11" t="s">
        <v>278</v>
      </c>
      <c r="C62" s="13" t="n">
        <v>26</v>
      </c>
      <c r="D62" s="14" t="n">
        <v>605</v>
      </c>
      <c r="E62" s="11" t="s">
        <v>221</v>
      </c>
      <c r="F62" s="11" t="s">
        <v>205</v>
      </c>
      <c r="G62" s="11" t="s">
        <v>192</v>
      </c>
      <c r="H62" s="11" t="s">
        <v>193</v>
      </c>
      <c r="I62" s="11" t="s">
        <v>194</v>
      </c>
      <c r="J62" s="11" t="s">
        <v>232</v>
      </c>
      <c r="K62" s="11"/>
    </row>
    <row r="63" customFormat="false" ht="15" hidden="false" customHeight="false" outlineLevel="0" collapsed="false">
      <c r="A63" s="11" t="s">
        <v>61</v>
      </c>
      <c r="B63" s="11" t="s">
        <v>279</v>
      </c>
      <c r="C63" s="13" t="n">
        <v>26</v>
      </c>
      <c r="D63" s="14" t="n">
        <v>595</v>
      </c>
      <c r="E63" s="11" t="s">
        <v>221</v>
      </c>
      <c r="F63" s="11" t="s">
        <v>234</v>
      </c>
      <c r="G63" s="11" t="s">
        <v>192</v>
      </c>
      <c r="H63" s="11" t="s">
        <v>199</v>
      </c>
      <c r="I63" s="11" t="s">
        <v>194</v>
      </c>
      <c r="J63" s="11" t="s">
        <v>232</v>
      </c>
      <c r="K63" s="11"/>
    </row>
    <row r="64" customFormat="false" ht="15" hidden="false" customHeight="false" outlineLevel="0" collapsed="false">
      <c r="A64" s="11" t="s">
        <v>61</v>
      </c>
      <c r="B64" s="11" t="s">
        <v>280</v>
      </c>
      <c r="C64" s="13" t="n">
        <v>27</v>
      </c>
      <c r="D64" s="14" t="n">
        <v>575</v>
      </c>
      <c r="E64" s="11" t="s">
        <v>281</v>
      </c>
      <c r="F64" s="11" t="s">
        <v>205</v>
      </c>
      <c r="G64" s="11" t="s">
        <v>203</v>
      </c>
      <c r="H64" s="11" t="s">
        <v>199</v>
      </c>
      <c r="I64" s="11" t="s">
        <v>219</v>
      </c>
      <c r="J64" s="11"/>
      <c r="K64" s="11"/>
    </row>
    <row r="65" customFormat="false" ht="15" hidden="false" customHeight="false" outlineLevel="0" collapsed="false">
      <c r="A65" s="11" t="s">
        <v>61</v>
      </c>
      <c r="B65" s="11" t="s">
        <v>282</v>
      </c>
      <c r="C65" s="13" t="n">
        <v>27</v>
      </c>
      <c r="D65" s="14" t="n">
        <v>625</v>
      </c>
      <c r="E65" s="11" t="s">
        <v>281</v>
      </c>
      <c r="F65" s="11" t="s">
        <v>193</v>
      </c>
      <c r="G65" s="11" t="s">
        <v>192</v>
      </c>
      <c r="H65" s="11" t="s">
        <v>199</v>
      </c>
      <c r="I65" s="11" t="s">
        <v>194</v>
      </c>
      <c r="J65" s="11" t="s">
        <v>197</v>
      </c>
      <c r="K65" s="11"/>
    </row>
    <row r="66" customFormat="false" ht="15" hidden="false" customHeight="false" outlineLevel="0" collapsed="false">
      <c r="A66" s="11" t="s">
        <v>61</v>
      </c>
      <c r="B66" s="11" t="s">
        <v>283</v>
      </c>
      <c r="C66" s="13" t="n">
        <v>28</v>
      </c>
      <c r="D66" s="14" t="n">
        <v>1200</v>
      </c>
      <c r="E66" s="11" t="s">
        <v>221</v>
      </c>
      <c r="F66" s="11" t="s">
        <v>205</v>
      </c>
      <c r="G66" s="11" t="s">
        <v>210</v>
      </c>
      <c r="H66" s="11" t="s">
        <v>199</v>
      </c>
      <c r="I66" s="11" t="s">
        <v>194</v>
      </c>
      <c r="J66" s="11" t="s">
        <v>206</v>
      </c>
      <c r="K66" s="11"/>
    </row>
    <row r="67" customFormat="false" ht="15" hidden="false" customHeight="false" outlineLevel="0" collapsed="false">
      <c r="A67" s="11" t="s">
        <v>61</v>
      </c>
      <c r="B67" s="11" t="s">
        <v>284</v>
      </c>
      <c r="C67" s="13" t="n">
        <v>29</v>
      </c>
      <c r="D67" s="14" t="n">
        <v>1200</v>
      </c>
      <c r="E67" s="11" t="s">
        <v>221</v>
      </c>
      <c r="F67" s="11" t="s">
        <v>205</v>
      </c>
      <c r="G67" s="11" t="s">
        <v>210</v>
      </c>
      <c r="H67" s="11" t="s">
        <v>199</v>
      </c>
      <c r="I67" s="11" t="s">
        <v>219</v>
      </c>
      <c r="J67" s="11"/>
      <c r="K67" s="11"/>
    </row>
    <row r="68" customFormat="false" ht="15" hidden="false" customHeight="false" outlineLevel="0" collapsed="false">
      <c r="A68" s="11" t="s">
        <v>61</v>
      </c>
      <c r="B68" s="11" t="s">
        <v>285</v>
      </c>
      <c r="C68" s="13" t="n">
        <v>30</v>
      </c>
      <c r="D68" s="14" t="n">
        <v>1200</v>
      </c>
      <c r="E68" s="11" t="s">
        <v>281</v>
      </c>
      <c r="F68" s="11" t="s">
        <v>205</v>
      </c>
      <c r="G68" s="11" t="s">
        <v>203</v>
      </c>
      <c r="H68" s="11" t="s">
        <v>193</v>
      </c>
      <c r="I68" s="11" t="s">
        <v>194</v>
      </c>
      <c r="J68" s="11" t="s">
        <v>232</v>
      </c>
      <c r="K68" s="11"/>
    </row>
    <row r="70" customFormat="false" ht="15" hidden="false" customHeight="false" outlineLevel="0" collapsed="false">
      <c r="A70" s="4" t="s">
        <v>286</v>
      </c>
      <c r="C70" s="26" t="n">
        <f aca="false">COUNTA(B5:B68)</f>
        <v>64</v>
      </c>
      <c r="D70" s="27" t="n">
        <f aca="false">SUM(D5:D68)</f>
        <v>33600</v>
      </c>
    </row>
    <row r="71" customFormat="false" ht="15" hidden="false" customHeight="false" outlineLevel="0" collapsed="false">
      <c r="A71" s="28" t="s">
        <v>287</v>
      </c>
    </row>
  </sheetData>
  <autoFilter ref="A4:K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24" hidden="false" customHeight="true" outlineLevel="0" collapsed="false">
      <c r="A1" s="1" t="s">
        <v>288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9" t="s">
        <v>289</v>
      </c>
    </row>
    <row r="4" customFormat="false" ht="15" hidden="false" customHeight="false" outlineLevel="0" collapsed="false">
      <c r="A4" s="7" t="s">
        <v>290</v>
      </c>
      <c r="B4" s="8"/>
      <c r="C4" s="8"/>
      <c r="D4" s="8"/>
      <c r="E4" s="8"/>
      <c r="F4" s="8"/>
    </row>
    <row r="5" customFormat="false" ht="31.5" hidden="false" customHeight="true" outlineLevel="0" collapsed="false">
      <c r="A5" s="25" t="s">
        <v>291</v>
      </c>
      <c r="B5" s="25" t="s">
        <v>292</v>
      </c>
      <c r="C5" s="25" t="s">
        <v>293</v>
      </c>
      <c r="D5" s="25" t="s">
        <v>294</v>
      </c>
      <c r="E5" s="25" t="s">
        <v>295</v>
      </c>
      <c r="F5" s="25" t="s">
        <v>296</v>
      </c>
    </row>
    <row r="6" customFormat="false" ht="15" hidden="false" customHeight="false" outlineLevel="0" collapsed="false">
      <c r="A6" s="11" t="s">
        <v>297</v>
      </c>
      <c r="B6" s="13" t="n">
        <v>3</v>
      </c>
      <c r="C6" s="13" t="n">
        <v>5</v>
      </c>
      <c r="D6" s="24" t="n">
        <v>-0.06</v>
      </c>
      <c r="E6" s="24" t="n">
        <v>0.003</v>
      </c>
      <c r="F6" s="12" t="s">
        <v>298</v>
      </c>
    </row>
    <row r="7" customFormat="false" ht="15" hidden="false" customHeight="false" outlineLevel="0" collapsed="false">
      <c r="A7" s="11" t="s">
        <v>299</v>
      </c>
      <c r="B7" s="13" t="n">
        <v>6</v>
      </c>
      <c r="C7" s="13" t="n">
        <v>12</v>
      </c>
      <c r="D7" s="24" t="n">
        <v>0</v>
      </c>
      <c r="E7" s="24" t="n">
        <v>0.0035</v>
      </c>
      <c r="F7" s="12" t="s">
        <v>300</v>
      </c>
    </row>
    <row r="8" customFormat="false" ht="15" hidden="false" customHeight="false" outlineLevel="0" collapsed="false">
      <c r="A8" s="11" t="s">
        <v>301</v>
      </c>
      <c r="B8" s="13" t="n">
        <v>13</v>
      </c>
      <c r="C8" s="13" t="n">
        <v>20</v>
      </c>
      <c r="D8" s="24" t="n">
        <v>0.045</v>
      </c>
      <c r="E8" s="24" t="n">
        <v>0.003</v>
      </c>
      <c r="F8" s="12" t="s">
        <v>302</v>
      </c>
    </row>
    <row r="9" customFormat="false" ht="15" hidden="false" customHeight="false" outlineLevel="0" collapsed="false">
      <c r="A9" s="11" t="s">
        <v>303</v>
      </c>
      <c r="B9" s="13" t="n">
        <v>21</v>
      </c>
      <c r="C9" s="13" t="n">
        <v>27</v>
      </c>
      <c r="D9" s="24" t="n">
        <v>0.09</v>
      </c>
      <c r="E9" s="24" t="n">
        <v>0.0025</v>
      </c>
      <c r="F9" s="12" t="s">
        <v>304</v>
      </c>
    </row>
    <row r="10" customFormat="false" ht="15" hidden="false" customHeight="false" outlineLevel="0" collapsed="false">
      <c r="A10" s="11" t="s">
        <v>305</v>
      </c>
      <c r="B10" s="13" t="n">
        <v>28</v>
      </c>
      <c r="C10" s="13" t="n">
        <v>30</v>
      </c>
      <c r="D10" s="24" t="n">
        <v>0.13</v>
      </c>
      <c r="E10" s="24" t="n">
        <v>0.0015</v>
      </c>
      <c r="F10" s="12" t="s">
        <v>306</v>
      </c>
    </row>
    <row r="12" customFormat="false" ht="15" hidden="false" customHeight="false" outlineLevel="0" collapsed="false">
      <c r="A12" s="7" t="s">
        <v>307</v>
      </c>
      <c r="B12" s="8"/>
      <c r="C12" s="8"/>
      <c r="D12" s="8"/>
      <c r="E12" s="8"/>
      <c r="F12" s="8"/>
    </row>
    <row r="13" customFormat="false" ht="31.5" hidden="false" customHeight="true" outlineLevel="0" collapsed="false">
      <c r="A13" s="25" t="s">
        <v>308</v>
      </c>
      <c r="B13" s="25" t="s">
        <v>309</v>
      </c>
      <c r="C13" s="25"/>
      <c r="D13" s="25"/>
      <c r="E13" s="25"/>
      <c r="F13" s="25" t="s">
        <v>310</v>
      </c>
    </row>
    <row r="14" customFormat="false" ht="15" hidden="false" customHeight="false" outlineLevel="0" collapsed="false">
      <c r="A14" s="11" t="s">
        <v>202</v>
      </c>
      <c r="B14" s="24" t="n">
        <v>-0.03</v>
      </c>
      <c r="F14" s="12" t="s">
        <v>311</v>
      </c>
    </row>
    <row r="15" customFormat="false" ht="15" hidden="false" customHeight="false" outlineLevel="0" collapsed="false">
      <c r="A15" s="11" t="s">
        <v>190</v>
      </c>
      <c r="B15" s="24" t="n">
        <v>0</v>
      </c>
      <c r="F15" s="12" t="s">
        <v>312</v>
      </c>
    </row>
    <row r="16" customFormat="false" ht="15" hidden="false" customHeight="false" outlineLevel="0" collapsed="false">
      <c r="A16" s="11" t="s">
        <v>221</v>
      </c>
      <c r="B16" s="24" t="n">
        <v>0.03</v>
      </c>
      <c r="F16" s="12" t="s">
        <v>313</v>
      </c>
    </row>
    <row r="17" customFormat="false" ht="15" hidden="false" customHeight="false" outlineLevel="0" collapsed="false">
      <c r="A17" s="11" t="s">
        <v>281</v>
      </c>
      <c r="B17" s="24" t="n">
        <v>0.06</v>
      </c>
      <c r="F17" s="12" t="s">
        <v>314</v>
      </c>
    </row>
    <row r="19" customFormat="false" ht="15" hidden="false" customHeight="false" outlineLevel="0" collapsed="false">
      <c r="A19" s="7" t="s">
        <v>315</v>
      </c>
      <c r="B19" s="8"/>
      <c r="C19" s="8"/>
      <c r="D19" s="8"/>
      <c r="E19" s="8"/>
      <c r="F19" s="8"/>
    </row>
    <row r="20" customFormat="false" ht="31.5" hidden="false" customHeight="true" outlineLevel="0" collapsed="false">
      <c r="A20" s="25" t="s">
        <v>316</v>
      </c>
      <c r="B20" s="25" t="s">
        <v>309</v>
      </c>
      <c r="C20" s="25"/>
      <c r="D20" s="25"/>
      <c r="E20" s="25"/>
      <c r="F20" s="25" t="s">
        <v>317</v>
      </c>
    </row>
    <row r="21" customFormat="false" ht="15" hidden="false" customHeight="false" outlineLevel="0" collapsed="false">
      <c r="A21" s="11" t="s">
        <v>205</v>
      </c>
      <c r="B21" s="24" t="n">
        <v>0.03</v>
      </c>
      <c r="F21" s="12" t="s">
        <v>318</v>
      </c>
    </row>
    <row r="22" customFormat="false" ht="15" hidden="false" customHeight="false" outlineLevel="0" collapsed="false">
      <c r="A22" s="11" t="s">
        <v>191</v>
      </c>
      <c r="B22" s="24" t="n">
        <v>0.01</v>
      </c>
      <c r="F22" s="12" t="s">
        <v>319</v>
      </c>
    </row>
    <row r="23" customFormat="false" ht="15" hidden="false" customHeight="false" outlineLevel="0" collapsed="false">
      <c r="A23" s="11" t="s">
        <v>244</v>
      </c>
      <c r="B23" s="24" t="n">
        <v>-0.025</v>
      </c>
      <c r="F23" s="12" t="s">
        <v>320</v>
      </c>
    </row>
    <row r="24" customFormat="false" ht="15" hidden="false" customHeight="false" outlineLevel="0" collapsed="false">
      <c r="A24" s="11" t="s">
        <v>234</v>
      </c>
      <c r="B24" s="24" t="n">
        <v>-0.015</v>
      </c>
      <c r="F24" s="12" t="s">
        <v>321</v>
      </c>
    </row>
    <row r="25" customFormat="false" ht="15" hidden="false" customHeight="false" outlineLevel="0" collapsed="false">
      <c r="A25" s="11" t="s">
        <v>193</v>
      </c>
      <c r="B25" s="24" t="n">
        <v>0</v>
      </c>
      <c r="F25" s="12" t="s">
        <v>322</v>
      </c>
    </row>
    <row r="27" customFormat="false" ht="15" hidden="false" customHeight="false" outlineLevel="0" collapsed="false">
      <c r="A27" s="7" t="s">
        <v>323</v>
      </c>
      <c r="B27" s="8"/>
      <c r="C27" s="8"/>
      <c r="D27" s="8"/>
      <c r="E27" s="8"/>
      <c r="F27" s="8"/>
    </row>
    <row r="28" customFormat="false" ht="31.5" hidden="false" customHeight="true" outlineLevel="0" collapsed="false">
      <c r="A28" s="25" t="s">
        <v>324</v>
      </c>
      <c r="B28" s="25" t="s">
        <v>309</v>
      </c>
      <c r="C28" s="25"/>
      <c r="D28" s="25"/>
      <c r="E28" s="25"/>
      <c r="F28" s="25" t="s">
        <v>325</v>
      </c>
    </row>
    <row r="29" customFormat="false" ht="15" hidden="false" customHeight="false" outlineLevel="0" collapsed="false">
      <c r="A29" s="11" t="s">
        <v>203</v>
      </c>
      <c r="B29" s="24" t="n">
        <v>0</v>
      </c>
      <c r="F29" s="12" t="s">
        <v>326</v>
      </c>
    </row>
    <row r="30" customFormat="false" ht="15" hidden="false" customHeight="false" outlineLevel="0" collapsed="false">
      <c r="A30" s="11" t="s">
        <v>192</v>
      </c>
      <c r="B30" s="24" t="n">
        <v>0.035</v>
      </c>
      <c r="F30" s="12" t="s">
        <v>327</v>
      </c>
    </row>
    <row r="31" customFormat="false" ht="15" hidden="false" customHeight="false" outlineLevel="0" collapsed="false">
      <c r="A31" s="11" t="s">
        <v>210</v>
      </c>
      <c r="B31" s="24" t="n">
        <v>0.065</v>
      </c>
      <c r="F31" s="12" t="s">
        <v>328</v>
      </c>
    </row>
    <row r="32" customFormat="false" ht="15" hidden="false" customHeight="false" outlineLevel="0" collapsed="false">
      <c r="A32" s="11" t="s">
        <v>228</v>
      </c>
      <c r="B32" s="24" t="n">
        <v>0.12</v>
      </c>
      <c r="F32" s="12" t="s">
        <v>329</v>
      </c>
    </row>
    <row r="34" customFormat="false" ht="15" hidden="false" customHeight="false" outlineLevel="0" collapsed="false">
      <c r="A34" s="7" t="s">
        <v>330</v>
      </c>
      <c r="B34" s="8"/>
      <c r="C34" s="8"/>
      <c r="D34" s="8"/>
      <c r="E34" s="8"/>
      <c r="F34" s="8"/>
    </row>
    <row r="35" customFormat="false" ht="31.5" hidden="false" customHeight="true" outlineLevel="0" collapsed="false">
      <c r="A35" s="25" t="s">
        <v>331</v>
      </c>
      <c r="B35" s="25" t="s">
        <v>309</v>
      </c>
      <c r="C35" s="25"/>
      <c r="D35" s="25"/>
      <c r="E35" s="25"/>
      <c r="F35" s="25" t="s">
        <v>325</v>
      </c>
    </row>
    <row r="36" customFormat="false" ht="15" hidden="false" customHeight="false" outlineLevel="0" collapsed="false">
      <c r="A36" s="11" t="s">
        <v>199</v>
      </c>
      <c r="B36" s="24" t="n">
        <v>0.02</v>
      </c>
      <c r="F36" s="12" t="s">
        <v>332</v>
      </c>
    </row>
    <row r="37" customFormat="false" ht="15" hidden="false" customHeight="false" outlineLevel="0" collapsed="false">
      <c r="A37" s="11" t="s">
        <v>193</v>
      </c>
      <c r="B37" s="24" t="n">
        <v>0</v>
      </c>
      <c r="F37" s="12" t="s">
        <v>322</v>
      </c>
    </row>
    <row r="38" customFormat="false" ht="15" hidden="false" customHeight="false" outlineLevel="0" collapsed="false">
      <c r="A38" s="11" t="s">
        <v>217</v>
      </c>
      <c r="B38" s="24" t="n">
        <v>-0.025</v>
      </c>
      <c r="F38" s="12" t="s">
        <v>333</v>
      </c>
    </row>
    <row r="39" customFormat="false" ht="15" hidden="false" customHeight="false" outlineLevel="0" collapsed="false">
      <c r="A39" s="11" t="s">
        <v>240</v>
      </c>
      <c r="B39" s="24" t="n">
        <v>0.015</v>
      </c>
      <c r="F39" s="12" t="s">
        <v>334</v>
      </c>
    </row>
    <row r="42" customFormat="false" ht="15" hidden="false" customHeight="false" outlineLevel="0" collapsed="false">
      <c r="A42" s="12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8" min="2" style="0" width="13"/>
  </cols>
  <sheetData>
    <row r="1" customFormat="false" ht="24" hidden="false" customHeight="true" outlineLevel="0" collapsed="false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false" outlineLevel="0" collapsed="false">
      <c r="A2" s="29" t="s">
        <v>337</v>
      </c>
    </row>
    <row r="4" customFormat="false" ht="15" hidden="false" customHeight="false" outlineLevel="0" collapsed="false">
      <c r="A4" s="7" t="s">
        <v>338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10" t="s">
        <v>339</v>
      </c>
      <c r="E5" s="30" t="n">
        <f aca="false">IFERROR(SUMPRODUCT($C$9:$C$72,$Q$9:$Q$72)/SUM($C$9:$C$72),0)</f>
        <v>201972.074082057</v>
      </c>
    </row>
    <row r="6" customFormat="false" ht="15" hidden="false" customHeight="false" outlineLevel="0" collapsed="false">
      <c r="A6" s="10" t="s">
        <v>340</v>
      </c>
      <c r="E6" s="31" t="n">
        <f aca="false">01_ASUMSI!$B$21</f>
        <v>185515.721556035</v>
      </c>
    </row>
    <row r="7" customFormat="false" ht="15" hidden="false" customHeight="false" outlineLevel="0" collapsed="false">
      <c r="A7" s="4" t="s">
        <v>341</v>
      </c>
      <c r="E7" s="32" t="n">
        <f aca="false">IFERROR($E$6/$E$5,1)</f>
        <v>0.9185216441391</v>
      </c>
      <c r="F7" s="12" t="s">
        <v>342</v>
      </c>
    </row>
    <row r="8" customFormat="false" ht="31.5" hidden="false" customHeight="true" outlineLevel="0" collapsed="false">
      <c r="A8" s="25" t="s">
        <v>343</v>
      </c>
      <c r="B8" s="25" t="s">
        <v>344</v>
      </c>
      <c r="C8" s="25" t="s">
        <v>345</v>
      </c>
      <c r="D8" s="25" t="s">
        <v>346</v>
      </c>
      <c r="E8" s="25" t="s">
        <v>347</v>
      </c>
      <c r="F8" s="25" t="s">
        <v>348</v>
      </c>
      <c r="G8" s="25" t="s">
        <v>349</v>
      </c>
      <c r="H8" s="25" t="s">
        <v>350</v>
      </c>
      <c r="I8" s="25" t="s">
        <v>351</v>
      </c>
      <c r="J8" s="25" t="s">
        <v>352</v>
      </c>
      <c r="K8" s="25" t="s">
        <v>353</v>
      </c>
      <c r="L8" s="25" t="s">
        <v>354</v>
      </c>
      <c r="M8" s="25" t="s">
        <v>355</v>
      </c>
      <c r="N8" s="25" t="s">
        <v>356</v>
      </c>
      <c r="O8" s="25" t="s">
        <v>357</v>
      </c>
      <c r="P8" s="25" t="s">
        <v>358</v>
      </c>
      <c r="Q8" s="25" t="s">
        <v>359</v>
      </c>
      <c r="R8" s="25" t="s">
        <v>360</v>
      </c>
      <c r="S8" s="25" t="s">
        <v>361</v>
      </c>
      <c r="T8" s="25" t="s">
        <v>362</v>
      </c>
      <c r="U8" s="25" t="s">
        <v>363</v>
      </c>
      <c r="V8" s="25" t="s">
        <v>364</v>
      </c>
      <c r="W8" s="25" t="s">
        <v>365</v>
      </c>
      <c r="X8" s="25" t="s">
        <v>366</v>
      </c>
      <c r="Y8" s="25" t="s">
        <v>367</v>
      </c>
      <c r="Z8" s="25" t="s">
        <v>368</v>
      </c>
      <c r="AA8" s="25" t="s">
        <v>369</v>
      </c>
      <c r="AB8" s="33" t="s">
        <v>370</v>
      </c>
    </row>
    <row r="9" customFormat="false" ht="15" hidden="false" customHeight="false" outlineLevel="0" collapsed="false">
      <c r="A9" s="34" t="str">
        <f aca="false">02_MASTER_UNIT!B5</f>
        <v>MNS-01-03A</v>
      </c>
      <c r="B9" s="35" t="n">
        <f aca="false">02_MASTER_UNIT!C5</f>
        <v>3</v>
      </c>
      <c r="C9" s="36" t="n">
        <f aca="false">02_MASTER_UNIT!D5</f>
        <v>290</v>
      </c>
      <c r="D9" s="37" t="str">
        <f aca="false">INDEX(03_FAKTOR!$A$6:$A$10,MATCH($B9,03_FAKTOR!$B$6:$B$10,1))</f>
        <v>Podium</v>
      </c>
      <c r="E9" s="38" t="n">
        <f aca="false">1+INDEX(03_FAKTOR!$D$6:$D$10,MATCH($B9,03_FAKTOR!$B$6:$B$10,1))+INDEX(03_FAKTOR!$E$6:$E$10,MATCH($B9,03_FAKTOR!$B$6:$B$10,1))*($B9-INDEX(03_FAKTOR!$B$6:$B$10,MATCH($B9,03_FAKTOR!$B$6:$B$10,1)))</f>
        <v>0.94</v>
      </c>
      <c r="F9" s="38" t="n">
        <f aca="false">1+01_ASUMSI!$B$36*LN(($B9+01_ASUMSI!$B$38)/(01_ASUMSI!$B$37+01_ASUMSI!$B$38))</f>
        <v>0.952432658025489</v>
      </c>
      <c r="G9" s="38" t="n">
        <f aca="false">IF(01_ASUMSI!$B$35="ZONA",$E9,$F9)</f>
        <v>0.94</v>
      </c>
      <c r="H9" s="39" t="n">
        <f aca="false">IFERROR(INDEX(03_FAKTOR!$B$14:$B$17,MATCH(02_MASTER_UNIT!E5,03_FAKTOR!$A$14:$A$17,0)),0)</f>
        <v>0</v>
      </c>
      <c r="I9" s="38" t="n">
        <f aca="false">1+$H9-IF($H9&gt;0,MAX(0,$G9-1)*01_ASUMSI!$B$39,0)</f>
        <v>1</v>
      </c>
      <c r="J9" s="38" t="n">
        <f aca="false">1+IFERROR(INDEX(03_FAKTOR!$B$21:$B$25,MATCH(02_MASTER_UNIT!F5,03_FAKTOR!$A$21:$A$25,0)),0)</f>
        <v>1.01</v>
      </c>
      <c r="K9" s="38" t="n">
        <f aca="false">MIN(01_ASUMSI!$B$45,MAX(01_ASUMSI!$B$44,IFERROR((01_ASUMSI!$B$42/$C9)^01_ASUMSI!$B$43,1)))</f>
        <v>0.994080787770959</v>
      </c>
      <c r="L9" s="38" t="n">
        <f aca="false">1+IFERROR(INDEX(03_FAKTOR!$B$29:$B$32,MATCH(02_MASTER_UNIT!G5,03_FAKTOR!$A$29:$A$32,0)),0)</f>
        <v>1.035</v>
      </c>
      <c r="M9" s="38" t="n">
        <f aca="false">1+IFERROR(INDEX(03_FAKTOR!$B$36:$B$39,MATCH(02_MASTER_UNIT!H5,03_FAKTOR!$A$36:$A$39,0)),0)</f>
        <v>1</v>
      </c>
      <c r="N9" s="38" t="n">
        <f aca="false">$G9*$I9*$J9*$K9*$L9*$M9</f>
        <v>0.97681261040659</v>
      </c>
      <c r="O9" s="38" t="n">
        <f aca="false">MIN(01_ASUMSI!$B$32,MAX(01_ASUMSI!$B$31,$N9))</f>
        <v>0.97681261040659</v>
      </c>
      <c r="Q9" s="40" t="n">
        <f aca="false">$E$6*$O9</f>
        <v>181214.096244612</v>
      </c>
      <c r="R9" s="40" t="n">
        <f aca="false">$Q9*$E$7</f>
        <v>166449.069623782</v>
      </c>
      <c r="S9" s="40" t="n">
        <f aca="false">ROUND($R9/01_ASUMSI!$B$23,0)*01_ASUMSI!$B$23</f>
        <v>166500</v>
      </c>
      <c r="T9" s="40" t="n">
        <f aca="false">$S9+01_ASUMSI!$B$22</f>
        <v>228500</v>
      </c>
      <c r="U9" s="40" t="n">
        <f aca="false">$S9*$C9</f>
        <v>48285000</v>
      </c>
      <c r="V9" s="40" t="n">
        <f aca="false">01_ASUMSI!$B$22*$C9</f>
        <v>17980000</v>
      </c>
      <c r="W9" s="40" t="n">
        <f aca="false">$U9+$V9</f>
        <v>66265000</v>
      </c>
      <c r="X9" s="40" t="n">
        <f aca="false">$W9*01_ASUMSI!$B$62</f>
        <v>7289150</v>
      </c>
      <c r="Y9" s="40" t="n">
        <f aca="false">$W9+$X9</f>
        <v>73554150</v>
      </c>
      <c r="Z9" s="40" t="n">
        <f aca="false">$W9*01_ASUMSI!$B$61</f>
        <v>6626500</v>
      </c>
      <c r="AA9" s="40" t="n">
        <f aca="false">$W9-$Z9</f>
        <v>59638500</v>
      </c>
      <c r="AB9" s="34" t="str">
        <f aca="false">02_MASTER_UNIT!I5</f>
        <v>Terisi</v>
      </c>
    </row>
    <row r="10" customFormat="false" ht="15" hidden="false" customHeight="false" outlineLevel="0" collapsed="false">
      <c r="A10" s="34" t="str">
        <f aca="false">02_MASTER_UNIT!B6</f>
        <v>MNS-01-03B</v>
      </c>
      <c r="B10" s="35" t="n">
        <f aca="false">02_MASTER_UNIT!C6</f>
        <v>3</v>
      </c>
      <c r="C10" s="36" t="n">
        <f aca="false">02_MASTER_UNIT!D6</f>
        <v>290</v>
      </c>
      <c r="D10" s="37" t="str">
        <f aca="false">INDEX(03_FAKTOR!$A$6:$A$10,MATCH($B10,03_FAKTOR!$B$6:$B$10,1))</f>
        <v>Podium</v>
      </c>
      <c r="E10" s="38" t="n">
        <f aca="false">1+INDEX(03_FAKTOR!$D$6:$D$10,MATCH($B10,03_FAKTOR!$B$6:$B$10,1))+INDEX(03_FAKTOR!$E$6:$E$10,MATCH($B10,03_FAKTOR!$B$6:$B$10,1))*($B10-INDEX(03_FAKTOR!$B$6:$B$10,MATCH($B10,03_FAKTOR!$B$6:$B$10,1)))</f>
        <v>0.94</v>
      </c>
      <c r="F10" s="38" t="n">
        <f aca="false">1+01_ASUMSI!$B$36*LN(($B10+01_ASUMSI!$B$38)/(01_ASUMSI!$B$37+01_ASUMSI!$B$38))</f>
        <v>0.952432658025489</v>
      </c>
      <c r="G10" s="38" t="n">
        <f aca="false">IF(01_ASUMSI!$B$35="ZONA",$E10,$F10)</f>
        <v>0.94</v>
      </c>
      <c r="H10" s="39" t="n">
        <f aca="false">IFERROR(INDEX(03_FAKTOR!$B$14:$B$17,MATCH(02_MASTER_UNIT!E6,03_FAKTOR!$A$14:$A$17,0)),0)</f>
        <v>0</v>
      </c>
      <c r="I10" s="38" t="n">
        <f aca="false">1+$H10-IF($H10&gt;0,MAX(0,$G10-1)*01_ASUMSI!$B$39,0)</f>
        <v>1</v>
      </c>
      <c r="J10" s="38" t="n">
        <f aca="false">1+IFERROR(INDEX(03_FAKTOR!$B$21:$B$25,MATCH(02_MASTER_UNIT!F6,03_FAKTOR!$A$21:$A$25,0)),0)</f>
        <v>1</v>
      </c>
      <c r="K10" s="38" t="n">
        <f aca="false">MIN(01_ASUMSI!$B$45,MAX(01_ASUMSI!$B$44,IFERROR((01_ASUMSI!$B$42/$C10)^01_ASUMSI!$B$43,1)))</f>
        <v>0.994080787770959</v>
      </c>
      <c r="L10" s="38" t="n">
        <f aca="false">1+IFERROR(INDEX(03_FAKTOR!$B$29:$B$32,MATCH(02_MASTER_UNIT!G6,03_FAKTOR!$A$29:$A$32,0)),0)</f>
        <v>1.035</v>
      </c>
      <c r="M10" s="38" t="n">
        <f aca="false">1+IFERROR(INDEX(03_FAKTOR!$B$36:$B$39,MATCH(02_MASTER_UNIT!H6,03_FAKTOR!$A$36:$A$39,0)),0)</f>
        <v>1</v>
      </c>
      <c r="N10" s="38" t="n">
        <f aca="false">$G10*$I10*$J10*$K10*$L10*$M10</f>
        <v>0.967141198422366</v>
      </c>
      <c r="O10" s="38" t="n">
        <f aca="false">MIN(01_ASUMSI!$B$32,MAX(01_ASUMSI!$B$31,$N10))</f>
        <v>0.967141198422366</v>
      </c>
      <c r="Q10" s="40" t="n">
        <f aca="false">$E$6*$O10</f>
        <v>179419.897271893</v>
      </c>
      <c r="R10" s="40" t="n">
        <f aca="false">$Q10*$E$7</f>
        <v>164801.059033448</v>
      </c>
      <c r="S10" s="40" t="n">
        <f aca="false">ROUND($R10/01_ASUMSI!$B$23,0)*01_ASUMSI!$B$23</f>
        <v>165000</v>
      </c>
      <c r="T10" s="40" t="n">
        <f aca="false">$S10+01_ASUMSI!$B$22</f>
        <v>227000</v>
      </c>
      <c r="U10" s="40" t="n">
        <f aca="false">$S10*$C10</f>
        <v>47850000</v>
      </c>
      <c r="V10" s="40" t="n">
        <f aca="false">01_ASUMSI!$B$22*$C10</f>
        <v>17980000</v>
      </c>
      <c r="W10" s="40" t="n">
        <f aca="false">$U10+$V10</f>
        <v>65830000</v>
      </c>
      <c r="X10" s="40" t="n">
        <f aca="false">$W10*01_ASUMSI!$B$62</f>
        <v>7241300</v>
      </c>
      <c r="Y10" s="40" t="n">
        <f aca="false">$W10+$X10</f>
        <v>73071300</v>
      </c>
      <c r="Z10" s="40" t="n">
        <f aca="false">$W10*01_ASUMSI!$B$61</f>
        <v>6583000</v>
      </c>
      <c r="AA10" s="40" t="n">
        <f aca="false">$W10-$Z10</f>
        <v>59247000</v>
      </c>
      <c r="AB10" s="34" t="str">
        <f aca="false">02_MASTER_UNIT!I6</f>
        <v>Terisi</v>
      </c>
    </row>
    <row r="11" customFormat="false" ht="15" hidden="false" customHeight="false" outlineLevel="0" collapsed="false">
      <c r="A11" s="34" t="str">
        <f aca="false">02_MASTER_UNIT!B7</f>
        <v>MNS-01-03C</v>
      </c>
      <c r="B11" s="35" t="n">
        <f aca="false">02_MASTER_UNIT!C7</f>
        <v>3</v>
      </c>
      <c r="C11" s="36" t="n">
        <f aca="false">02_MASTER_UNIT!D7</f>
        <v>310</v>
      </c>
      <c r="D11" s="37" t="str">
        <f aca="false">INDEX(03_FAKTOR!$A$6:$A$10,MATCH($B11,03_FAKTOR!$B$6:$B$10,1))</f>
        <v>Podium</v>
      </c>
      <c r="E11" s="38" t="n">
        <f aca="false">1+INDEX(03_FAKTOR!$D$6:$D$10,MATCH($B11,03_FAKTOR!$B$6:$B$10,1))+INDEX(03_FAKTOR!$E$6:$E$10,MATCH($B11,03_FAKTOR!$B$6:$B$10,1))*($B11-INDEX(03_FAKTOR!$B$6:$B$10,MATCH($B11,03_FAKTOR!$B$6:$B$10,1)))</f>
        <v>0.94</v>
      </c>
      <c r="F11" s="38" t="n">
        <f aca="false">1+01_ASUMSI!$B$36*LN(($B11+01_ASUMSI!$B$38)/(01_ASUMSI!$B$37+01_ASUMSI!$B$38))</f>
        <v>0.952432658025489</v>
      </c>
      <c r="G11" s="38" t="n">
        <f aca="false">IF(01_ASUMSI!$B$35="ZONA",$E11,$F11)</f>
        <v>0.94</v>
      </c>
      <c r="H11" s="39" t="n">
        <f aca="false">IFERROR(INDEX(03_FAKTOR!$B$14:$B$17,MATCH(02_MASTER_UNIT!E7,03_FAKTOR!$A$14:$A$17,0)),0)</f>
        <v>0</v>
      </c>
      <c r="I11" s="38" t="n">
        <f aca="false">1+$H11-IF($H11&gt;0,MAX(0,$G11-1)*01_ASUMSI!$B$39,0)</f>
        <v>1</v>
      </c>
      <c r="J11" s="38" t="n">
        <f aca="false">1+IFERROR(INDEX(03_FAKTOR!$B$21:$B$25,MATCH(02_MASTER_UNIT!F7,03_FAKTOR!$A$21:$A$25,0)),0)</f>
        <v>1</v>
      </c>
      <c r="K11" s="38" t="n">
        <f aca="false">MIN(01_ASUMSI!$B$45,MAX(01_ASUMSI!$B$44,IFERROR((01_ASUMSI!$B$42/$C11)^01_ASUMSI!$B$43,1)))</f>
        <v>0.991432457193664</v>
      </c>
      <c r="L11" s="38" t="n">
        <f aca="false">1+IFERROR(INDEX(03_FAKTOR!$B$29:$B$32,MATCH(02_MASTER_UNIT!G7,03_FAKTOR!$A$29:$A$32,0)),0)</f>
        <v>1.035</v>
      </c>
      <c r="M11" s="38" t="n">
        <f aca="false">1+IFERROR(INDEX(03_FAKTOR!$B$36:$B$39,MATCH(02_MASTER_UNIT!H7,03_FAKTOR!$A$36:$A$39,0)),0)</f>
        <v>1.02</v>
      </c>
      <c r="N11" s="38" t="n">
        <f aca="false">$G11*$I11*$J11*$K11*$L11*$M11</f>
        <v>0.98385593035579</v>
      </c>
      <c r="O11" s="38" t="n">
        <f aca="false">MIN(01_ASUMSI!$B$32,MAX(01_ASUMSI!$B$31,$N11))</f>
        <v>0.98385593035579</v>
      </c>
      <c r="Q11" s="40" t="n">
        <f aca="false">$E$6*$O11</f>
        <v>182520.742827138</v>
      </c>
      <c r="R11" s="40" t="n">
        <f aca="false">$Q11*$E$7</f>
        <v>167649.252791073</v>
      </c>
      <c r="S11" s="40" t="n">
        <f aca="false">ROUND($R11/01_ASUMSI!$B$23,0)*01_ASUMSI!$B$23</f>
        <v>167500</v>
      </c>
      <c r="T11" s="40" t="n">
        <f aca="false">$S11+01_ASUMSI!$B$22</f>
        <v>229500</v>
      </c>
      <c r="U11" s="40" t="n">
        <f aca="false">$S11*$C11</f>
        <v>51925000</v>
      </c>
      <c r="V11" s="40" t="n">
        <f aca="false">01_ASUMSI!$B$22*$C11</f>
        <v>19220000</v>
      </c>
      <c r="W11" s="40" t="n">
        <f aca="false">$U11+$V11</f>
        <v>71145000</v>
      </c>
      <c r="X11" s="40" t="n">
        <f aca="false">$W11*01_ASUMSI!$B$62</f>
        <v>7825950</v>
      </c>
      <c r="Y11" s="40" t="n">
        <f aca="false">$W11+$X11</f>
        <v>78970950</v>
      </c>
      <c r="Z11" s="40" t="n">
        <f aca="false">$W11*01_ASUMSI!$B$61</f>
        <v>7114500</v>
      </c>
      <c r="AA11" s="40" t="n">
        <f aca="false">$W11-$Z11</f>
        <v>64030500</v>
      </c>
      <c r="AB11" s="34" t="str">
        <f aca="false">02_MASTER_UNIT!I7</f>
        <v>Terisi</v>
      </c>
    </row>
    <row r="12" customFormat="false" ht="15" hidden="false" customHeight="false" outlineLevel="0" collapsed="false">
      <c r="A12" s="34" t="str">
        <f aca="false">02_MASTER_UNIT!B8</f>
        <v>MNS-01-03D</v>
      </c>
      <c r="B12" s="35" t="n">
        <f aca="false">02_MASTER_UNIT!C8</f>
        <v>3</v>
      </c>
      <c r="C12" s="36" t="n">
        <f aca="false">02_MASTER_UNIT!D8</f>
        <v>310</v>
      </c>
      <c r="D12" s="37" t="str">
        <f aca="false">INDEX(03_FAKTOR!$A$6:$A$10,MATCH($B12,03_FAKTOR!$B$6:$B$10,1))</f>
        <v>Podium</v>
      </c>
      <c r="E12" s="38" t="n">
        <f aca="false">1+INDEX(03_FAKTOR!$D$6:$D$10,MATCH($B12,03_FAKTOR!$B$6:$B$10,1))+INDEX(03_FAKTOR!$E$6:$E$10,MATCH($B12,03_FAKTOR!$B$6:$B$10,1))*($B12-INDEX(03_FAKTOR!$B$6:$B$10,MATCH($B12,03_FAKTOR!$B$6:$B$10,1)))</f>
        <v>0.94</v>
      </c>
      <c r="F12" s="38" t="n">
        <f aca="false">1+01_ASUMSI!$B$36*LN(($B12+01_ASUMSI!$B$38)/(01_ASUMSI!$B$37+01_ASUMSI!$B$38))</f>
        <v>0.952432658025489</v>
      </c>
      <c r="G12" s="38" t="n">
        <f aca="false">IF(01_ASUMSI!$B$35="ZONA",$E12,$F12)</f>
        <v>0.94</v>
      </c>
      <c r="H12" s="39" t="n">
        <f aca="false">IFERROR(INDEX(03_FAKTOR!$B$14:$B$17,MATCH(02_MASTER_UNIT!E8,03_FAKTOR!$A$14:$A$17,0)),0)</f>
        <v>-0.03</v>
      </c>
      <c r="I12" s="38" t="n">
        <f aca="false">1+$H12-IF($H12&gt;0,MAX(0,$G12-1)*01_ASUMSI!$B$39,0)</f>
        <v>0.97</v>
      </c>
      <c r="J12" s="38" t="n">
        <f aca="false">1+IFERROR(INDEX(03_FAKTOR!$B$21:$B$25,MATCH(02_MASTER_UNIT!F8,03_FAKTOR!$A$21:$A$25,0)),0)</f>
        <v>1</v>
      </c>
      <c r="K12" s="38" t="n">
        <f aca="false">MIN(01_ASUMSI!$B$45,MAX(01_ASUMSI!$B$44,IFERROR((01_ASUMSI!$B$42/$C12)^01_ASUMSI!$B$43,1)))</f>
        <v>0.991432457193664</v>
      </c>
      <c r="L12" s="38" t="n">
        <f aca="false">1+IFERROR(INDEX(03_FAKTOR!$B$29:$B$32,MATCH(02_MASTER_UNIT!G8,03_FAKTOR!$A$29:$A$32,0)),0)</f>
        <v>1</v>
      </c>
      <c r="M12" s="38" t="n">
        <f aca="false">1+IFERROR(INDEX(03_FAKTOR!$B$36:$B$39,MATCH(02_MASTER_UNIT!H8,03_FAKTOR!$A$36:$A$39,0)),0)</f>
        <v>1.02</v>
      </c>
      <c r="N12" s="38" t="n">
        <f aca="false">$G12*$I12*$J12*$K12*$L12*$M12</f>
        <v>0.922067876758566</v>
      </c>
      <c r="O12" s="38" t="n">
        <f aca="false">MIN(01_ASUMSI!$B$32,MAX(01_ASUMSI!$B$31,$N12))</f>
        <v>0.922067876758566</v>
      </c>
      <c r="Q12" s="40" t="n">
        <f aca="false">$E$6*$O12</f>
        <v>171058.087480506</v>
      </c>
      <c r="R12" s="40" t="n">
        <f aca="false">$Q12*$E$7</f>
        <v>157120.555755885</v>
      </c>
      <c r="S12" s="40" t="n">
        <f aca="false">ROUND($R12/01_ASUMSI!$B$23,0)*01_ASUMSI!$B$23</f>
        <v>157000</v>
      </c>
      <c r="T12" s="40" t="n">
        <f aca="false">$S12+01_ASUMSI!$B$22</f>
        <v>219000</v>
      </c>
      <c r="U12" s="40" t="n">
        <f aca="false">$S12*$C12</f>
        <v>48670000</v>
      </c>
      <c r="V12" s="40" t="n">
        <f aca="false">01_ASUMSI!$B$22*$C12</f>
        <v>19220000</v>
      </c>
      <c r="W12" s="40" t="n">
        <f aca="false">$U12+$V12</f>
        <v>67890000</v>
      </c>
      <c r="X12" s="40" t="n">
        <f aca="false">$W12*01_ASUMSI!$B$62</f>
        <v>7467900</v>
      </c>
      <c r="Y12" s="40" t="n">
        <f aca="false">$W12+$X12</f>
        <v>75357900</v>
      </c>
      <c r="Z12" s="40" t="n">
        <f aca="false">$W12*01_ASUMSI!$B$61</f>
        <v>6789000</v>
      </c>
      <c r="AA12" s="40" t="n">
        <f aca="false">$W12-$Z12</f>
        <v>61101000</v>
      </c>
      <c r="AB12" s="34" t="str">
        <f aca="false">02_MASTER_UNIT!I8</f>
        <v>Terisi</v>
      </c>
    </row>
    <row r="13" customFormat="false" ht="15" hidden="false" customHeight="false" outlineLevel="0" collapsed="false">
      <c r="A13" s="34" t="str">
        <f aca="false">02_MASTER_UNIT!B9</f>
        <v>MNS-01-04A</v>
      </c>
      <c r="B13" s="35" t="n">
        <f aca="false">02_MASTER_UNIT!C9</f>
        <v>4</v>
      </c>
      <c r="C13" s="36" t="n">
        <f aca="false">02_MASTER_UNIT!D9</f>
        <v>575</v>
      </c>
      <c r="D13" s="37" t="str">
        <f aca="false">INDEX(03_FAKTOR!$A$6:$A$10,MATCH($B13,03_FAKTOR!$B$6:$B$10,1))</f>
        <v>Podium</v>
      </c>
      <c r="E13" s="38" t="n">
        <f aca="false">1+INDEX(03_FAKTOR!$D$6:$D$10,MATCH($B13,03_FAKTOR!$B$6:$B$10,1))+INDEX(03_FAKTOR!$E$6:$E$10,MATCH($B13,03_FAKTOR!$B$6:$B$10,1))*($B13-INDEX(03_FAKTOR!$B$6:$B$10,MATCH($B13,03_FAKTOR!$B$6:$B$10,1)))</f>
        <v>0.943</v>
      </c>
      <c r="F13" s="38" t="n">
        <f aca="false">1+01_ASUMSI!$B$36*LN(($B13+01_ASUMSI!$B$38)/(01_ASUMSI!$B$37+01_ASUMSI!$B$38))</f>
        <v>0.962444216056282</v>
      </c>
      <c r="G13" s="38" t="n">
        <f aca="false">IF(01_ASUMSI!$B$35="ZONA",$E13,$F13)</f>
        <v>0.943</v>
      </c>
      <c r="H13" s="39" t="n">
        <f aca="false">IFERROR(INDEX(03_FAKTOR!$B$14:$B$17,MATCH(02_MASTER_UNIT!E9,03_FAKTOR!$A$14:$A$17,0)),0)</f>
        <v>-0.03</v>
      </c>
      <c r="I13" s="38" t="n">
        <f aca="false">1+$H13-IF($H13&gt;0,MAX(0,$G13-1)*01_ASUMSI!$B$39,0)</f>
        <v>0.97</v>
      </c>
      <c r="J13" s="38" t="n">
        <f aca="false">1+IFERROR(INDEX(03_FAKTOR!$B$21:$B$25,MATCH(02_MASTER_UNIT!F9,03_FAKTOR!$A$21:$A$25,0)),0)</f>
        <v>1.03</v>
      </c>
      <c r="K13" s="38" t="n">
        <f aca="false">MIN(01_ASUMSI!$B$45,MAX(01_ASUMSI!$B$44,IFERROR((01_ASUMSI!$B$42/$C13)^01_ASUMSI!$B$43,1)))</f>
        <v>0.967232512746337</v>
      </c>
      <c r="L13" s="38" t="n">
        <f aca="false">1+IFERROR(INDEX(03_FAKTOR!$B$29:$B$32,MATCH(02_MASTER_UNIT!G9,03_FAKTOR!$A$29:$A$32,0)),0)</f>
        <v>1</v>
      </c>
      <c r="M13" s="38" t="n">
        <f aca="false">1+IFERROR(INDEX(03_FAKTOR!$B$36:$B$39,MATCH(02_MASTER_UNIT!H9,03_FAKTOR!$A$36:$A$39,0)),0)</f>
        <v>1.02</v>
      </c>
      <c r="N13" s="38" t="n">
        <f aca="false">$G13*$I13*$J13*$K13*$L13*$M13</f>
        <v>0.929504956671952</v>
      </c>
      <c r="O13" s="38" t="n">
        <f aca="false">MIN(01_ASUMSI!$B$32,MAX(01_ASUMSI!$B$31,$N13))</f>
        <v>0.929504956671952</v>
      </c>
      <c r="Q13" s="40" t="n">
        <f aca="false">$E$6*$O13</f>
        <v>172437.782726908</v>
      </c>
      <c r="R13" s="40" t="n">
        <f aca="false">$Q13*$E$7</f>
        <v>158387.83570202</v>
      </c>
      <c r="S13" s="40" t="n">
        <f aca="false">ROUND($R13/01_ASUMSI!$B$23,0)*01_ASUMSI!$B$23</f>
        <v>158500</v>
      </c>
      <c r="T13" s="40" t="n">
        <f aca="false">$S13+01_ASUMSI!$B$22</f>
        <v>220500</v>
      </c>
      <c r="U13" s="40" t="n">
        <f aca="false">$S13*$C13</f>
        <v>91137500</v>
      </c>
      <c r="V13" s="40" t="n">
        <f aca="false">01_ASUMSI!$B$22*$C13</f>
        <v>35650000</v>
      </c>
      <c r="W13" s="40" t="n">
        <f aca="false">$U13+$V13</f>
        <v>126787500</v>
      </c>
      <c r="X13" s="40" t="n">
        <f aca="false">$W13*01_ASUMSI!$B$62</f>
        <v>13946625</v>
      </c>
      <c r="Y13" s="40" t="n">
        <f aca="false">$W13+$X13</f>
        <v>140734125</v>
      </c>
      <c r="Z13" s="40" t="n">
        <f aca="false">$W13*01_ASUMSI!$B$61</f>
        <v>12678750</v>
      </c>
      <c r="AA13" s="40" t="n">
        <f aca="false">$W13-$Z13</f>
        <v>114108750</v>
      </c>
      <c r="AB13" s="34" t="str">
        <f aca="false">02_MASTER_UNIT!I9</f>
        <v>Terisi</v>
      </c>
    </row>
    <row r="14" customFormat="false" ht="15" hidden="false" customHeight="false" outlineLevel="0" collapsed="false">
      <c r="A14" s="34" t="str">
        <f aca="false">02_MASTER_UNIT!B10</f>
        <v>MNS-01-04B</v>
      </c>
      <c r="B14" s="35" t="n">
        <f aca="false">02_MASTER_UNIT!C10</f>
        <v>4</v>
      </c>
      <c r="C14" s="36" t="n">
        <f aca="false">02_MASTER_UNIT!D10</f>
        <v>625</v>
      </c>
      <c r="D14" s="37" t="str">
        <f aca="false">INDEX(03_FAKTOR!$A$6:$A$10,MATCH($B14,03_FAKTOR!$B$6:$B$10,1))</f>
        <v>Podium</v>
      </c>
      <c r="E14" s="38" t="n">
        <f aca="false">1+INDEX(03_FAKTOR!$D$6:$D$10,MATCH($B14,03_FAKTOR!$B$6:$B$10,1))+INDEX(03_FAKTOR!$E$6:$E$10,MATCH($B14,03_FAKTOR!$B$6:$B$10,1))*($B14-INDEX(03_FAKTOR!$B$6:$B$10,MATCH($B14,03_FAKTOR!$B$6:$B$10,1)))</f>
        <v>0.943</v>
      </c>
      <c r="F14" s="38" t="n">
        <f aca="false">1+01_ASUMSI!$B$36*LN(($B14+01_ASUMSI!$B$38)/(01_ASUMSI!$B$37+01_ASUMSI!$B$38))</f>
        <v>0.962444216056282</v>
      </c>
      <c r="G14" s="38" t="n">
        <f aca="false">IF(01_ASUMSI!$B$35="ZONA",$E14,$F14)</f>
        <v>0.943</v>
      </c>
      <c r="H14" s="39" t="n">
        <f aca="false">IFERROR(INDEX(03_FAKTOR!$B$14:$B$17,MATCH(02_MASTER_UNIT!E10,03_FAKTOR!$A$14:$A$17,0)),0)</f>
        <v>-0.03</v>
      </c>
      <c r="I14" s="38" t="n">
        <f aca="false">1+$H14-IF($H14&gt;0,MAX(0,$G14-1)*01_ASUMSI!$B$39,0)</f>
        <v>0.97</v>
      </c>
      <c r="J14" s="38" t="n">
        <f aca="false">1+IFERROR(INDEX(03_FAKTOR!$B$21:$B$25,MATCH(02_MASTER_UNIT!F10,03_FAKTOR!$A$21:$A$25,0)),0)</f>
        <v>1.03</v>
      </c>
      <c r="K14" s="38" t="n">
        <f aca="false">MIN(01_ASUMSI!$B$45,MAX(01_ASUMSI!$B$44,IFERROR((01_ASUMSI!$B$42/$C14)^01_ASUMSI!$B$43,1)))</f>
        <v>0.964011910386724</v>
      </c>
      <c r="L14" s="38" t="n">
        <f aca="false">1+IFERROR(INDEX(03_FAKTOR!$B$29:$B$32,MATCH(02_MASTER_UNIT!G10,03_FAKTOR!$A$29:$A$32,0)),0)</f>
        <v>1.035</v>
      </c>
      <c r="M14" s="38" t="n">
        <f aca="false">1+IFERROR(INDEX(03_FAKTOR!$B$36:$B$39,MATCH(02_MASTER_UNIT!H10,03_FAKTOR!$A$36:$A$39,0)),0)</f>
        <v>1</v>
      </c>
      <c r="N14" s="38" t="n">
        <f aca="false">$G14*$I14*$J14*$K14*$L14*$M14</f>
        <v>0.940033652196857</v>
      </c>
      <c r="O14" s="38" t="n">
        <f aca="false">MIN(01_ASUMSI!$B$32,MAX(01_ASUMSI!$B$31,$N14))</f>
        <v>0.940033652196857</v>
      </c>
      <c r="Q14" s="40" t="n">
        <f aca="false">$E$6*$O14</f>
        <v>174391.021274255</v>
      </c>
      <c r="R14" s="40" t="n">
        <f aca="false">$Q14*$E$7</f>
        <v>160181.927583925</v>
      </c>
      <c r="S14" s="40" t="n">
        <f aca="false">ROUND($R14/01_ASUMSI!$B$23,0)*01_ASUMSI!$B$23</f>
        <v>160000</v>
      </c>
      <c r="T14" s="40" t="n">
        <f aca="false">$S14+01_ASUMSI!$B$22</f>
        <v>222000</v>
      </c>
      <c r="U14" s="40" t="n">
        <f aca="false">$S14*$C14</f>
        <v>100000000</v>
      </c>
      <c r="V14" s="40" t="n">
        <f aca="false">01_ASUMSI!$B$22*$C14</f>
        <v>38750000</v>
      </c>
      <c r="W14" s="40" t="n">
        <f aca="false">$U14+$V14</f>
        <v>138750000</v>
      </c>
      <c r="X14" s="40" t="n">
        <f aca="false">$W14*01_ASUMSI!$B$62</f>
        <v>15262500</v>
      </c>
      <c r="Y14" s="40" t="n">
        <f aca="false">$W14+$X14</f>
        <v>154012500</v>
      </c>
      <c r="Z14" s="40" t="n">
        <f aca="false">$W14*01_ASUMSI!$B$61</f>
        <v>13875000</v>
      </c>
      <c r="AA14" s="40" t="n">
        <f aca="false">$W14-$Z14</f>
        <v>124875000</v>
      </c>
      <c r="AB14" s="34" t="str">
        <f aca="false">02_MASTER_UNIT!I10</f>
        <v>Terisi</v>
      </c>
    </row>
    <row r="15" customFormat="false" ht="15" hidden="false" customHeight="false" outlineLevel="0" collapsed="false">
      <c r="A15" s="34" t="str">
        <f aca="false">02_MASTER_UNIT!B11</f>
        <v>MNS-01-05A</v>
      </c>
      <c r="B15" s="35" t="n">
        <f aca="false">02_MASTER_UNIT!C11</f>
        <v>5</v>
      </c>
      <c r="C15" s="36" t="n">
        <f aca="false">02_MASTER_UNIT!D11</f>
        <v>575</v>
      </c>
      <c r="D15" s="37" t="str">
        <f aca="false">INDEX(03_FAKTOR!$A$6:$A$10,MATCH($B15,03_FAKTOR!$B$6:$B$10,1))</f>
        <v>Podium</v>
      </c>
      <c r="E15" s="38" t="n">
        <f aca="false">1+INDEX(03_FAKTOR!$D$6:$D$10,MATCH($B15,03_FAKTOR!$B$6:$B$10,1))+INDEX(03_FAKTOR!$E$6:$E$10,MATCH($B15,03_FAKTOR!$B$6:$B$10,1))*($B15-INDEX(03_FAKTOR!$B$6:$B$10,MATCH($B15,03_FAKTOR!$B$6:$B$10,1)))</f>
        <v>0.946</v>
      </c>
      <c r="F15" s="38" t="n">
        <f aca="false">1+01_ASUMSI!$B$36*LN(($B15+01_ASUMSI!$B$38)/(01_ASUMSI!$B$37+01_ASUMSI!$B$38))</f>
        <v>0.971399859887197</v>
      </c>
      <c r="G15" s="38" t="n">
        <f aca="false">IF(01_ASUMSI!$B$35="ZONA",$E15,$F15)</f>
        <v>0.946</v>
      </c>
      <c r="H15" s="39" t="n">
        <f aca="false">IFERROR(INDEX(03_FAKTOR!$B$14:$B$17,MATCH(02_MASTER_UNIT!E11,03_FAKTOR!$A$14:$A$17,0)),0)</f>
        <v>0</v>
      </c>
      <c r="I15" s="38" t="n">
        <f aca="false">1+$H15-IF($H15&gt;0,MAX(0,$G15-1)*01_ASUMSI!$B$39,0)</f>
        <v>1</v>
      </c>
      <c r="J15" s="38" t="n">
        <f aca="false">1+IFERROR(INDEX(03_FAKTOR!$B$21:$B$25,MATCH(02_MASTER_UNIT!F11,03_FAKTOR!$A$21:$A$25,0)),0)</f>
        <v>1.03</v>
      </c>
      <c r="K15" s="38" t="n">
        <f aca="false">MIN(01_ASUMSI!$B$45,MAX(01_ASUMSI!$B$44,IFERROR((01_ASUMSI!$B$42/$C15)^01_ASUMSI!$B$43,1)))</f>
        <v>0.967232512746337</v>
      </c>
      <c r="L15" s="38" t="n">
        <f aca="false">1+IFERROR(INDEX(03_FAKTOR!$B$29:$B$32,MATCH(02_MASTER_UNIT!G11,03_FAKTOR!$A$29:$A$32,0)),0)</f>
        <v>1.065</v>
      </c>
      <c r="M15" s="38" t="n">
        <f aca="false">1+IFERROR(INDEX(03_FAKTOR!$B$36:$B$39,MATCH(02_MASTER_UNIT!H11,03_FAKTOR!$A$36:$A$39,0)),0)</f>
        <v>1</v>
      </c>
      <c r="N15" s="38" t="n">
        <f aca="false">$G15*$I15*$J15*$K15*$L15*$M15</f>
        <v>1.00371139679481</v>
      </c>
      <c r="O15" s="38" t="n">
        <f aca="false">MIN(01_ASUMSI!$B$32,MAX(01_ASUMSI!$B$31,$N15))</f>
        <v>1.00371139679481</v>
      </c>
      <c r="Q15" s="40" t="n">
        <f aca="false">$E$6*$O15</f>
        <v>186204.244010405</v>
      </c>
      <c r="R15" s="40" t="n">
        <f aca="false">$Q15*$E$7</f>
        <v>171032.628354115</v>
      </c>
      <c r="S15" s="40" t="n">
        <f aca="false">ROUND($R15/01_ASUMSI!$B$23,0)*01_ASUMSI!$B$23</f>
        <v>171000</v>
      </c>
      <c r="T15" s="40" t="n">
        <f aca="false">$S15+01_ASUMSI!$B$22</f>
        <v>233000</v>
      </c>
      <c r="U15" s="40" t="n">
        <f aca="false">$S15*$C15</f>
        <v>98325000</v>
      </c>
      <c r="V15" s="40" t="n">
        <f aca="false">01_ASUMSI!$B$22*$C15</f>
        <v>35650000</v>
      </c>
      <c r="W15" s="40" t="n">
        <f aca="false">$U15+$V15</f>
        <v>133975000</v>
      </c>
      <c r="X15" s="40" t="n">
        <f aca="false">$W15*01_ASUMSI!$B$62</f>
        <v>14737250</v>
      </c>
      <c r="Y15" s="40" t="n">
        <f aca="false">$W15+$X15</f>
        <v>148712250</v>
      </c>
      <c r="Z15" s="40" t="n">
        <f aca="false">$W15*01_ASUMSI!$B$61</f>
        <v>13397500</v>
      </c>
      <c r="AA15" s="40" t="n">
        <f aca="false">$W15-$Z15</f>
        <v>120577500</v>
      </c>
      <c r="AB15" s="34" t="str">
        <f aca="false">02_MASTER_UNIT!I11</f>
        <v>Terisi</v>
      </c>
    </row>
    <row r="16" customFormat="false" ht="15" hidden="false" customHeight="false" outlineLevel="0" collapsed="false">
      <c r="A16" s="34" t="str">
        <f aca="false">02_MASTER_UNIT!B12</f>
        <v>MNS-01-05B</v>
      </c>
      <c r="B16" s="35" t="n">
        <f aca="false">02_MASTER_UNIT!C12</f>
        <v>5</v>
      </c>
      <c r="C16" s="36" t="n">
        <f aca="false">02_MASTER_UNIT!D12</f>
        <v>625</v>
      </c>
      <c r="D16" s="37" t="str">
        <f aca="false">INDEX(03_FAKTOR!$A$6:$A$10,MATCH($B16,03_FAKTOR!$B$6:$B$10,1))</f>
        <v>Podium</v>
      </c>
      <c r="E16" s="38" t="n">
        <f aca="false">1+INDEX(03_FAKTOR!$D$6:$D$10,MATCH($B16,03_FAKTOR!$B$6:$B$10,1))+INDEX(03_FAKTOR!$E$6:$E$10,MATCH($B16,03_FAKTOR!$B$6:$B$10,1))*($B16-INDEX(03_FAKTOR!$B$6:$B$10,MATCH($B16,03_FAKTOR!$B$6:$B$10,1)))</f>
        <v>0.946</v>
      </c>
      <c r="F16" s="38" t="n">
        <f aca="false">1+01_ASUMSI!$B$36*LN(($B16+01_ASUMSI!$B$38)/(01_ASUMSI!$B$37+01_ASUMSI!$B$38))</f>
        <v>0.971399859887197</v>
      </c>
      <c r="G16" s="38" t="n">
        <f aca="false">IF(01_ASUMSI!$B$35="ZONA",$E16,$F16)</f>
        <v>0.946</v>
      </c>
      <c r="H16" s="39" t="n">
        <f aca="false">IFERROR(INDEX(03_FAKTOR!$B$14:$B$17,MATCH(02_MASTER_UNIT!E12,03_FAKTOR!$A$14:$A$17,0)),0)</f>
        <v>0</v>
      </c>
      <c r="I16" s="38" t="n">
        <f aca="false">1+$H16-IF($H16&gt;0,MAX(0,$G16-1)*01_ASUMSI!$B$39,0)</f>
        <v>1</v>
      </c>
      <c r="J16" s="38" t="n">
        <f aca="false">1+IFERROR(INDEX(03_FAKTOR!$B$21:$B$25,MATCH(02_MASTER_UNIT!F12,03_FAKTOR!$A$21:$A$25,0)),0)</f>
        <v>1</v>
      </c>
      <c r="K16" s="38" t="n">
        <f aca="false">MIN(01_ASUMSI!$B$45,MAX(01_ASUMSI!$B$44,IFERROR((01_ASUMSI!$B$42/$C16)^01_ASUMSI!$B$43,1)))</f>
        <v>0.964011910386724</v>
      </c>
      <c r="L16" s="38" t="n">
        <f aca="false">1+IFERROR(INDEX(03_FAKTOR!$B$29:$B$32,MATCH(02_MASTER_UNIT!G12,03_FAKTOR!$A$29:$A$32,0)),0)</f>
        <v>1.035</v>
      </c>
      <c r="M16" s="38" t="n">
        <f aca="false">1+IFERROR(INDEX(03_FAKTOR!$B$36:$B$39,MATCH(02_MASTER_UNIT!H12,03_FAKTOR!$A$36:$A$39,0)),0)</f>
        <v>1.02</v>
      </c>
      <c r="N16" s="38" t="n">
        <f aca="false">$G16*$I16*$J16*$K16*$L16*$M16</f>
        <v>0.96275117561032</v>
      </c>
      <c r="O16" s="38" t="n">
        <f aca="false">MIN(01_ASUMSI!$B$32,MAX(01_ASUMSI!$B$31,$N16))</f>
        <v>0.96275117561032</v>
      </c>
      <c r="Q16" s="40" t="n">
        <f aca="false">$E$6*$O16</f>
        <v>178605.479022269</v>
      </c>
      <c r="R16" s="40" t="n">
        <f aca="false">$Q16*$E$7</f>
        <v>164052.998243786</v>
      </c>
      <c r="S16" s="40" t="n">
        <f aca="false">ROUND($R16/01_ASUMSI!$B$23,0)*01_ASUMSI!$B$23</f>
        <v>164000</v>
      </c>
      <c r="T16" s="40" t="n">
        <f aca="false">$S16+01_ASUMSI!$B$22</f>
        <v>226000</v>
      </c>
      <c r="U16" s="40" t="n">
        <f aca="false">$S16*$C16</f>
        <v>102500000</v>
      </c>
      <c r="V16" s="40" t="n">
        <f aca="false">01_ASUMSI!$B$22*$C16</f>
        <v>38750000</v>
      </c>
      <c r="W16" s="40" t="n">
        <f aca="false">$U16+$V16</f>
        <v>141250000</v>
      </c>
      <c r="X16" s="40" t="n">
        <f aca="false">$W16*01_ASUMSI!$B$62</f>
        <v>15537500</v>
      </c>
      <c r="Y16" s="40" t="n">
        <f aca="false">$W16+$X16</f>
        <v>156787500</v>
      </c>
      <c r="Z16" s="40" t="n">
        <f aca="false">$W16*01_ASUMSI!$B$61</f>
        <v>14125000</v>
      </c>
      <c r="AA16" s="40" t="n">
        <f aca="false">$W16-$Z16</f>
        <v>127125000</v>
      </c>
      <c r="AB16" s="34" t="str">
        <f aca="false">02_MASTER_UNIT!I12</f>
        <v>Terisi</v>
      </c>
    </row>
    <row r="17" customFormat="false" ht="15" hidden="false" customHeight="false" outlineLevel="0" collapsed="false">
      <c r="A17" s="34" t="str">
        <f aca="false">02_MASTER_UNIT!B13</f>
        <v>MNS-01-06A</v>
      </c>
      <c r="B17" s="35" t="n">
        <f aca="false">02_MASTER_UNIT!C13</f>
        <v>6</v>
      </c>
      <c r="C17" s="36" t="n">
        <f aca="false">02_MASTER_UNIT!D13</f>
        <v>535</v>
      </c>
      <c r="D17" s="37" t="str">
        <f aca="false">INDEX(03_FAKTOR!$A$6:$A$10,MATCH($B17,03_FAKTOR!$B$6:$B$10,1))</f>
        <v>Bawah</v>
      </c>
      <c r="E17" s="38" t="n">
        <f aca="false">1+INDEX(03_FAKTOR!$D$6:$D$10,MATCH($B17,03_FAKTOR!$B$6:$B$10,1))+INDEX(03_FAKTOR!$E$6:$E$10,MATCH($B17,03_FAKTOR!$B$6:$B$10,1))*($B17-INDEX(03_FAKTOR!$B$6:$B$10,MATCH($B17,03_FAKTOR!$B$6:$B$10,1)))</f>
        <v>1</v>
      </c>
      <c r="F17" s="38" t="n">
        <f aca="false">1+01_ASUMSI!$B$36*LN(($B17+01_ASUMSI!$B$38)/(01_ASUMSI!$B$37+01_ASUMSI!$B$38))</f>
        <v>0.979501225170565</v>
      </c>
      <c r="G17" s="38" t="n">
        <f aca="false">IF(01_ASUMSI!$B$35="ZONA",$E17,$F17)</f>
        <v>1</v>
      </c>
      <c r="H17" s="39" t="n">
        <f aca="false">IFERROR(INDEX(03_FAKTOR!$B$14:$B$17,MATCH(02_MASTER_UNIT!E13,03_FAKTOR!$A$14:$A$17,0)),0)</f>
        <v>0</v>
      </c>
      <c r="I17" s="38" t="n">
        <f aca="false">1+$H17-IF($H17&gt;0,MAX(0,$G17-1)*01_ASUMSI!$B$39,0)</f>
        <v>1</v>
      </c>
      <c r="J17" s="38" t="n">
        <f aca="false">1+IFERROR(INDEX(03_FAKTOR!$B$21:$B$25,MATCH(02_MASTER_UNIT!F13,03_FAKTOR!$A$21:$A$25,0)),0)</f>
        <v>1.03</v>
      </c>
      <c r="K17" s="38" t="n">
        <f aca="false">MIN(01_ASUMSI!$B$45,MAX(01_ASUMSI!$B$44,IFERROR((01_ASUMSI!$B$42/$C17)^01_ASUMSI!$B$43,1)))</f>
        <v>0.970026165446553</v>
      </c>
      <c r="L17" s="38" t="n">
        <f aca="false">1+IFERROR(INDEX(03_FAKTOR!$B$29:$B$32,MATCH(02_MASTER_UNIT!G13,03_FAKTOR!$A$29:$A$32,0)),0)</f>
        <v>1.065</v>
      </c>
      <c r="M17" s="38" t="n">
        <f aca="false">1+IFERROR(INDEX(03_FAKTOR!$B$36:$B$39,MATCH(02_MASTER_UNIT!H13,03_FAKTOR!$A$36:$A$39,0)),0)</f>
        <v>1</v>
      </c>
      <c r="N17" s="38" t="n">
        <f aca="false">$G17*$I17*$J17*$K17*$L17*$M17</f>
        <v>1.0640702021866</v>
      </c>
      <c r="O17" s="38" t="n">
        <f aca="false">MIN(01_ASUMSI!$B$32,MAX(01_ASUMSI!$B$31,$N17))</f>
        <v>1.0640702021866</v>
      </c>
      <c r="Q17" s="40" t="n">
        <f aca="false">$E$6*$O17</f>
        <v>197401.751344922</v>
      </c>
      <c r="R17" s="40" t="n">
        <f aca="false">$Q17*$E$7</f>
        <v>181317.781201276</v>
      </c>
      <c r="S17" s="40" t="n">
        <f aca="false">ROUND($R17/01_ASUMSI!$B$23,0)*01_ASUMSI!$B$23</f>
        <v>181500</v>
      </c>
      <c r="T17" s="40" t="n">
        <f aca="false">$S17+01_ASUMSI!$B$22</f>
        <v>243500</v>
      </c>
      <c r="U17" s="40" t="n">
        <f aca="false">$S17*$C17</f>
        <v>97102500</v>
      </c>
      <c r="V17" s="40" t="n">
        <f aca="false">01_ASUMSI!$B$22*$C17</f>
        <v>33170000</v>
      </c>
      <c r="W17" s="40" t="n">
        <f aca="false">$U17+$V17</f>
        <v>130272500</v>
      </c>
      <c r="X17" s="40" t="n">
        <f aca="false">$W17*01_ASUMSI!$B$62</f>
        <v>14329975</v>
      </c>
      <c r="Y17" s="40" t="n">
        <f aca="false">$W17+$X17</f>
        <v>144602475</v>
      </c>
      <c r="Z17" s="40" t="n">
        <f aca="false">$W17*01_ASUMSI!$B$61</f>
        <v>13027250</v>
      </c>
      <c r="AA17" s="40" t="n">
        <f aca="false">$W17-$Z17</f>
        <v>117245250</v>
      </c>
      <c r="AB17" s="34" t="str">
        <f aca="false">02_MASTER_UNIT!I13</f>
        <v>Terisi</v>
      </c>
    </row>
    <row r="18" customFormat="false" ht="15" hidden="false" customHeight="false" outlineLevel="0" collapsed="false">
      <c r="A18" s="34" t="str">
        <f aca="false">02_MASTER_UNIT!B14</f>
        <v>MNS-01-06B</v>
      </c>
      <c r="B18" s="35" t="n">
        <f aca="false">02_MASTER_UNIT!C14</f>
        <v>6</v>
      </c>
      <c r="C18" s="36" t="n">
        <f aca="false">02_MASTER_UNIT!D14</f>
        <v>665</v>
      </c>
      <c r="D18" s="37" t="str">
        <f aca="false">INDEX(03_FAKTOR!$A$6:$A$10,MATCH($B18,03_FAKTOR!$B$6:$B$10,1))</f>
        <v>Bawah</v>
      </c>
      <c r="E18" s="38" t="n">
        <f aca="false">1+INDEX(03_FAKTOR!$D$6:$D$10,MATCH($B18,03_FAKTOR!$B$6:$B$10,1))+INDEX(03_FAKTOR!$E$6:$E$10,MATCH($B18,03_FAKTOR!$B$6:$B$10,1))*($B18-INDEX(03_FAKTOR!$B$6:$B$10,MATCH($B18,03_FAKTOR!$B$6:$B$10,1)))</f>
        <v>1</v>
      </c>
      <c r="F18" s="38" t="n">
        <f aca="false">1+01_ASUMSI!$B$36*LN(($B18+01_ASUMSI!$B$38)/(01_ASUMSI!$B$37+01_ASUMSI!$B$38))</f>
        <v>0.979501225170565</v>
      </c>
      <c r="G18" s="38" t="n">
        <f aca="false">IF(01_ASUMSI!$B$35="ZONA",$E18,$F18)</f>
        <v>1</v>
      </c>
      <c r="H18" s="39" t="n">
        <f aca="false">IFERROR(INDEX(03_FAKTOR!$B$14:$B$17,MATCH(02_MASTER_UNIT!E14,03_FAKTOR!$A$14:$A$17,0)),0)</f>
        <v>-0.03</v>
      </c>
      <c r="I18" s="38" t="n">
        <f aca="false">1+$H18-IF($H18&gt;0,MAX(0,$G18-1)*01_ASUMSI!$B$39,0)</f>
        <v>0.97</v>
      </c>
      <c r="J18" s="38" t="n">
        <f aca="false">1+IFERROR(INDEX(03_FAKTOR!$B$21:$B$25,MATCH(02_MASTER_UNIT!F14,03_FAKTOR!$A$21:$A$25,0)),0)</f>
        <v>1</v>
      </c>
      <c r="K18" s="38" t="n">
        <f aca="false">MIN(01_ASUMSI!$B$45,MAX(01_ASUMSI!$B$44,IFERROR((01_ASUMSI!$B$42/$C18)^01_ASUMSI!$B$43,1)))</f>
        <v>0.961622761619721</v>
      </c>
      <c r="L18" s="38" t="n">
        <f aca="false">1+IFERROR(INDEX(03_FAKTOR!$B$29:$B$32,MATCH(02_MASTER_UNIT!G14,03_FAKTOR!$A$29:$A$32,0)),0)</f>
        <v>1.065</v>
      </c>
      <c r="M18" s="38" t="n">
        <f aca="false">1+IFERROR(INDEX(03_FAKTOR!$B$36:$B$39,MATCH(02_MASTER_UNIT!H14,03_FAKTOR!$A$36:$A$39,0)),0)</f>
        <v>0.975</v>
      </c>
      <c r="N18" s="38" t="n">
        <f aca="false">$G18*$I18*$J18*$K18*$L18*$M18</f>
        <v>0.968569284043971</v>
      </c>
      <c r="O18" s="38" t="n">
        <f aca="false">MIN(01_ASUMSI!$B$32,MAX(01_ASUMSI!$B$31,$N18))</f>
        <v>0.968569284043971</v>
      </c>
      <c r="Q18" s="40" t="n">
        <f aca="false">$E$6*$O18</f>
        <v>179684.829606429</v>
      </c>
      <c r="R18" s="40" t="n">
        <f aca="false">$Q18*$E$7</f>
        <v>165044.405116951</v>
      </c>
      <c r="S18" s="40" t="n">
        <f aca="false">ROUND($R18/01_ASUMSI!$B$23,0)*01_ASUMSI!$B$23</f>
        <v>165000</v>
      </c>
      <c r="T18" s="40" t="n">
        <f aca="false">$S18+01_ASUMSI!$B$22</f>
        <v>227000</v>
      </c>
      <c r="U18" s="40" t="n">
        <f aca="false">$S18*$C18</f>
        <v>109725000</v>
      </c>
      <c r="V18" s="40" t="n">
        <f aca="false">01_ASUMSI!$B$22*$C18</f>
        <v>41230000</v>
      </c>
      <c r="W18" s="40" t="n">
        <f aca="false">$U18+$V18</f>
        <v>150955000</v>
      </c>
      <c r="X18" s="40" t="n">
        <f aca="false">$W18*01_ASUMSI!$B$62</f>
        <v>16605050</v>
      </c>
      <c r="Y18" s="40" t="n">
        <f aca="false">$W18+$X18</f>
        <v>167560050</v>
      </c>
      <c r="Z18" s="40" t="n">
        <f aca="false">$W18*01_ASUMSI!$B$61</f>
        <v>15095500</v>
      </c>
      <c r="AA18" s="40" t="n">
        <f aca="false">$W18-$Z18</f>
        <v>135859500</v>
      </c>
      <c r="AB18" s="34" t="str">
        <f aca="false">02_MASTER_UNIT!I14</f>
        <v>Terisi</v>
      </c>
    </row>
    <row r="19" customFormat="false" ht="15" hidden="false" customHeight="false" outlineLevel="0" collapsed="false">
      <c r="A19" s="34" t="str">
        <f aca="false">02_MASTER_UNIT!B15</f>
        <v>MNS-01-07A</v>
      </c>
      <c r="B19" s="35" t="n">
        <f aca="false">02_MASTER_UNIT!C15</f>
        <v>7</v>
      </c>
      <c r="C19" s="36" t="n">
        <f aca="false">02_MASTER_UNIT!D15</f>
        <v>355</v>
      </c>
      <c r="D19" s="37" t="str">
        <f aca="false">INDEX(03_FAKTOR!$A$6:$A$10,MATCH($B19,03_FAKTOR!$B$6:$B$10,1))</f>
        <v>Bawah</v>
      </c>
      <c r="E19" s="38" t="n">
        <f aca="false">1+INDEX(03_FAKTOR!$D$6:$D$10,MATCH($B19,03_FAKTOR!$B$6:$B$10,1))+INDEX(03_FAKTOR!$E$6:$E$10,MATCH($B19,03_FAKTOR!$B$6:$B$10,1))*($B19-INDEX(03_FAKTOR!$B$6:$B$10,MATCH($B19,03_FAKTOR!$B$6:$B$10,1)))</f>
        <v>1.0035</v>
      </c>
      <c r="F19" s="38" t="n">
        <f aca="false">1+01_ASUMSI!$B$36*LN(($B19+01_ASUMSI!$B$38)/(01_ASUMSI!$B$37+01_ASUMSI!$B$38))</f>
        <v>0.986897192214683</v>
      </c>
      <c r="G19" s="38" t="n">
        <f aca="false">IF(01_ASUMSI!$B$35="ZONA",$E19,$F19)</f>
        <v>1.0035</v>
      </c>
      <c r="H19" s="39" t="n">
        <f aca="false">IFERROR(INDEX(03_FAKTOR!$B$14:$B$17,MATCH(02_MASTER_UNIT!E15,03_FAKTOR!$A$14:$A$17,0)),0)</f>
        <v>0</v>
      </c>
      <c r="I19" s="38" t="n">
        <f aca="false">1+$H19-IF($H19&gt;0,MAX(0,$G19-1)*01_ASUMSI!$B$39,0)</f>
        <v>1</v>
      </c>
      <c r="J19" s="38" t="n">
        <f aca="false">1+IFERROR(INDEX(03_FAKTOR!$B$21:$B$25,MATCH(02_MASTER_UNIT!F15,03_FAKTOR!$A$21:$A$25,0)),0)</f>
        <v>1.03</v>
      </c>
      <c r="K19" s="38" t="n">
        <f aca="false">MIN(01_ASUMSI!$B$45,MAX(01_ASUMSI!$B$44,IFERROR((01_ASUMSI!$B$42/$C19)^01_ASUMSI!$B$43,1)))</f>
        <v>0.986071635023859</v>
      </c>
      <c r="L19" s="38" t="n">
        <f aca="false">1+IFERROR(INDEX(03_FAKTOR!$B$29:$B$32,MATCH(02_MASTER_UNIT!G15,03_FAKTOR!$A$29:$A$32,0)),0)</f>
        <v>1.035</v>
      </c>
      <c r="M19" s="38" t="n">
        <f aca="false">1+IFERROR(INDEX(03_FAKTOR!$B$36:$B$39,MATCH(02_MASTER_UNIT!H15,03_FAKTOR!$A$36:$A$39,0)),0)</f>
        <v>0.975</v>
      </c>
      <c r="N19" s="38" t="n">
        <f aca="false">$G19*$I19*$J19*$K19*$L19*$M19</f>
        <v>1.02850885054124</v>
      </c>
      <c r="O19" s="38" t="n">
        <f aca="false">MIN(01_ASUMSI!$B$32,MAX(01_ASUMSI!$B$31,$N19))</f>
        <v>1.02850885054124</v>
      </c>
      <c r="Q19" s="40" t="n">
        <f aca="false">$E$6*$O19</f>
        <v>190804.561534927</v>
      </c>
      <c r="R19" s="40" t="n">
        <f aca="false">$Q19*$E$7</f>
        <v>175258.119570301</v>
      </c>
      <c r="S19" s="40" t="n">
        <f aca="false">ROUND($R19/01_ASUMSI!$B$23,0)*01_ASUMSI!$B$23</f>
        <v>175500</v>
      </c>
      <c r="T19" s="40" t="n">
        <f aca="false">$S19+01_ASUMSI!$B$22</f>
        <v>237500</v>
      </c>
      <c r="U19" s="40" t="n">
        <f aca="false">$S19*$C19</f>
        <v>62302500</v>
      </c>
      <c r="V19" s="40" t="n">
        <f aca="false">01_ASUMSI!$B$22*$C19</f>
        <v>22010000</v>
      </c>
      <c r="W19" s="40" t="n">
        <f aca="false">$U19+$V19</f>
        <v>84312500</v>
      </c>
      <c r="X19" s="40" t="n">
        <f aca="false">$W19*01_ASUMSI!$B$62</f>
        <v>9274375</v>
      </c>
      <c r="Y19" s="40" t="n">
        <f aca="false">$W19+$X19</f>
        <v>93586875</v>
      </c>
      <c r="Z19" s="40" t="n">
        <f aca="false">$W19*01_ASUMSI!$B$61</f>
        <v>8431250</v>
      </c>
      <c r="AA19" s="40" t="n">
        <f aca="false">$W19-$Z19</f>
        <v>75881250</v>
      </c>
      <c r="AB19" s="34" t="str">
        <f aca="false">02_MASTER_UNIT!I15</f>
        <v>Kosong</v>
      </c>
    </row>
    <row r="20" customFormat="false" ht="15" hidden="false" customHeight="false" outlineLevel="0" collapsed="false">
      <c r="A20" s="34" t="str">
        <f aca="false">02_MASTER_UNIT!B16</f>
        <v>MNS-01-07B</v>
      </c>
      <c r="B20" s="35" t="n">
        <f aca="false">02_MASTER_UNIT!C16</f>
        <v>7</v>
      </c>
      <c r="C20" s="36" t="n">
        <f aca="false">02_MASTER_UNIT!D16</f>
        <v>390</v>
      </c>
      <c r="D20" s="37" t="str">
        <f aca="false">INDEX(03_FAKTOR!$A$6:$A$10,MATCH($B20,03_FAKTOR!$B$6:$B$10,1))</f>
        <v>Bawah</v>
      </c>
      <c r="E20" s="38" t="n">
        <f aca="false">1+INDEX(03_FAKTOR!$D$6:$D$10,MATCH($B20,03_FAKTOR!$B$6:$B$10,1))+INDEX(03_FAKTOR!$E$6:$E$10,MATCH($B20,03_FAKTOR!$B$6:$B$10,1))*($B20-INDEX(03_FAKTOR!$B$6:$B$10,MATCH($B20,03_FAKTOR!$B$6:$B$10,1)))</f>
        <v>1.0035</v>
      </c>
      <c r="F20" s="38" t="n">
        <f aca="false">1+01_ASUMSI!$B$36*LN(($B20+01_ASUMSI!$B$38)/(01_ASUMSI!$B$37+01_ASUMSI!$B$38))</f>
        <v>0.986897192214683</v>
      </c>
      <c r="G20" s="38" t="n">
        <f aca="false">IF(01_ASUMSI!$B$35="ZONA",$E20,$F20)</f>
        <v>1.0035</v>
      </c>
      <c r="H20" s="39" t="n">
        <f aca="false">IFERROR(INDEX(03_FAKTOR!$B$14:$B$17,MATCH(02_MASTER_UNIT!E16,03_FAKTOR!$A$14:$A$17,0)),0)</f>
        <v>0.03</v>
      </c>
      <c r="I20" s="38" t="n">
        <f aca="false">1+$H20-IF($H20&gt;0,MAX(0,$G20-1)*01_ASUMSI!$B$39,0)</f>
        <v>1.029055</v>
      </c>
      <c r="J20" s="38" t="n">
        <f aca="false">1+IFERROR(INDEX(03_FAKTOR!$B$21:$B$25,MATCH(02_MASTER_UNIT!F16,03_FAKTOR!$A$21:$A$25,0)),0)</f>
        <v>1.01</v>
      </c>
      <c r="K20" s="38" t="n">
        <f aca="false">MIN(01_ASUMSI!$B$45,MAX(01_ASUMSI!$B$44,IFERROR((01_ASUMSI!$B$42/$C20)^01_ASUMSI!$B$43,1)))</f>
        <v>0.982369829720284</v>
      </c>
      <c r="L20" s="38" t="n">
        <f aca="false">1+IFERROR(INDEX(03_FAKTOR!$B$29:$B$32,MATCH(02_MASTER_UNIT!G16,03_FAKTOR!$A$29:$A$32,0)),0)</f>
        <v>1.065</v>
      </c>
      <c r="M20" s="38" t="n">
        <f aca="false">1+IFERROR(INDEX(03_FAKTOR!$B$36:$B$39,MATCH(02_MASTER_UNIT!H16,03_FAKTOR!$A$36:$A$39,0)),0)</f>
        <v>1.02</v>
      </c>
      <c r="N20" s="38" t="n">
        <f aca="false">$G20*$I20*$J20*$K20*$L20*$M20</f>
        <v>1.1130178602273</v>
      </c>
      <c r="O20" s="38" t="n">
        <f aca="false">MIN(01_ASUMSI!$B$32,MAX(01_ASUMSI!$B$31,$N20))</f>
        <v>1.1130178602273</v>
      </c>
      <c r="Q20" s="40" t="n">
        <f aca="false">$E$6*$O20</f>
        <v>206482.311444822</v>
      </c>
      <c r="R20" s="40" t="n">
        <f aca="false">$Q20*$E$7</f>
        <v>189658.47219394</v>
      </c>
      <c r="S20" s="40" t="n">
        <f aca="false">ROUND($R20/01_ASUMSI!$B$23,0)*01_ASUMSI!$B$23</f>
        <v>189500</v>
      </c>
      <c r="T20" s="40" t="n">
        <f aca="false">$S20+01_ASUMSI!$B$22</f>
        <v>251500</v>
      </c>
      <c r="U20" s="40" t="n">
        <f aca="false">$S20*$C20</f>
        <v>73905000</v>
      </c>
      <c r="V20" s="40" t="n">
        <f aca="false">01_ASUMSI!$B$22*$C20</f>
        <v>24180000</v>
      </c>
      <c r="W20" s="40" t="n">
        <f aca="false">$U20+$V20</f>
        <v>98085000</v>
      </c>
      <c r="X20" s="40" t="n">
        <f aca="false">$W20*01_ASUMSI!$B$62</f>
        <v>10789350</v>
      </c>
      <c r="Y20" s="40" t="n">
        <f aca="false">$W20+$X20</f>
        <v>108874350</v>
      </c>
      <c r="Z20" s="40" t="n">
        <f aca="false">$W20*01_ASUMSI!$B$61</f>
        <v>9808500</v>
      </c>
      <c r="AA20" s="40" t="n">
        <f aca="false">$W20-$Z20</f>
        <v>88276500</v>
      </c>
      <c r="AB20" s="34" t="str">
        <f aca="false">02_MASTER_UNIT!I16</f>
        <v>Terisi</v>
      </c>
    </row>
    <row r="21" customFormat="false" ht="15" hidden="false" customHeight="false" outlineLevel="0" collapsed="false">
      <c r="A21" s="34" t="str">
        <f aca="false">02_MASTER_UNIT!B17</f>
        <v>MNS-01-07C</v>
      </c>
      <c r="B21" s="35" t="n">
        <f aca="false">02_MASTER_UNIT!C17</f>
        <v>7</v>
      </c>
      <c r="C21" s="36" t="n">
        <f aca="false">02_MASTER_UNIT!D17</f>
        <v>455</v>
      </c>
      <c r="D21" s="37" t="str">
        <f aca="false">INDEX(03_FAKTOR!$A$6:$A$10,MATCH($B21,03_FAKTOR!$B$6:$B$10,1))</f>
        <v>Bawah</v>
      </c>
      <c r="E21" s="38" t="n">
        <f aca="false">1+INDEX(03_FAKTOR!$D$6:$D$10,MATCH($B21,03_FAKTOR!$B$6:$B$10,1))+INDEX(03_FAKTOR!$E$6:$E$10,MATCH($B21,03_FAKTOR!$B$6:$B$10,1))*($B21-INDEX(03_FAKTOR!$B$6:$B$10,MATCH($B21,03_FAKTOR!$B$6:$B$10,1)))</f>
        <v>1.0035</v>
      </c>
      <c r="F21" s="38" t="n">
        <f aca="false">1+01_ASUMSI!$B$36*LN(($B21+01_ASUMSI!$B$38)/(01_ASUMSI!$B$37+01_ASUMSI!$B$38))</f>
        <v>0.986897192214683</v>
      </c>
      <c r="G21" s="38" t="n">
        <f aca="false">IF(01_ASUMSI!$B$35="ZONA",$E21,$F21)</f>
        <v>1.0035</v>
      </c>
      <c r="H21" s="39" t="n">
        <f aca="false">IFERROR(INDEX(03_FAKTOR!$B$14:$B$17,MATCH(02_MASTER_UNIT!E17,03_FAKTOR!$A$14:$A$17,0)),0)</f>
        <v>0</v>
      </c>
      <c r="I21" s="38" t="n">
        <f aca="false">1+$H21-IF($H21&gt;0,MAX(0,$G21-1)*01_ASUMSI!$B$39,0)</f>
        <v>1</v>
      </c>
      <c r="J21" s="38" t="n">
        <f aca="false">1+IFERROR(INDEX(03_FAKTOR!$B$21:$B$25,MATCH(02_MASTER_UNIT!F17,03_FAKTOR!$A$21:$A$25,0)),0)</f>
        <v>1.03</v>
      </c>
      <c r="K21" s="38" t="n">
        <f aca="false">MIN(01_ASUMSI!$B$45,MAX(01_ASUMSI!$B$44,IFERROR((01_ASUMSI!$B$42/$C21)^01_ASUMSI!$B$43,1)))</f>
        <v>0.976331147109644</v>
      </c>
      <c r="L21" s="38" t="n">
        <f aca="false">1+IFERROR(INDEX(03_FAKTOR!$B$29:$B$32,MATCH(02_MASTER_UNIT!G17,03_FAKTOR!$A$29:$A$32,0)),0)</f>
        <v>1.035</v>
      </c>
      <c r="M21" s="38" t="n">
        <f aca="false">1+IFERROR(INDEX(03_FAKTOR!$B$36:$B$39,MATCH(02_MASTER_UNIT!H17,03_FAKTOR!$A$36:$A$39,0)),0)</f>
        <v>0.975</v>
      </c>
      <c r="N21" s="38" t="n">
        <f aca="false">$G21*$I21*$J21*$K21*$L21*$M21</f>
        <v>1.01834916470045</v>
      </c>
      <c r="O21" s="38" t="n">
        <f aca="false">MIN(01_ASUMSI!$B$32,MAX(01_ASUMSI!$B$31,$N21))</f>
        <v>1.01834916470045</v>
      </c>
      <c r="Q21" s="40" t="n">
        <f aca="false">$E$6*$O21</f>
        <v>188919.78008539</v>
      </c>
      <c r="R21" s="40" t="n">
        <f aca="false">$Q21*$E$7</f>
        <v>173526.907014429</v>
      </c>
      <c r="S21" s="40" t="n">
        <f aca="false">ROUND($R21/01_ASUMSI!$B$23,0)*01_ASUMSI!$B$23</f>
        <v>173500</v>
      </c>
      <c r="T21" s="40" t="n">
        <f aca="false">$S21+01_ASUMSI!$B$22</f>
        <v>235500</v>
      </c>
      <c r="U21" s="40" t="n">
        <f aca="false">$S21*$C21</f>
        <v>78942500</v>
      </c>
      <c r="V21" s="40" t="n">
        <f aca="false">01_ASUMSI!$B$22*$C21</f>
        <v>28210000</v>
      </c>
      <c r="W21" s="40" t="n">
        <f aca="false">$U21+$V21</f>
        <v>107152500</v>
      </c>
      <c r="X21" s="40" t="n">
        <f aca="false">$W21*01_ASUMSI!$B$62</f>
        <v>11786775</v>
      </c>
      <c r="Y21" s="40" t="n">
        <f aca="false">$W21+$X21</f>
        <v>118939275</v>
      </c>
      <c r="Z21" s="40" t="n">
        <f aca="false">$W21*01_ASUMSI!$B$61</f>
        <v>10715250</v>
      </c>
      <c r="AA21" s="40" t="n">
        <f aca="false">$W21-$Z21</f>
        <v>96437250</v>
      </c>
      <c r="AB21" s="34" t="str">
        <f aca="false">02_MASTER_UNIT!I17</f>
        <v>Terisi</v>
      </c>
    </row>
    <row r="22" customFormat="false" ht="15" hidden="false" customHeight="false" outlineLevel="0" collapsed="false">
      <c r="A22" s="34" t="str">
        <f aca="false">02_MASTER_UNIT!B18</f>
        <v>MNS-01-08A</v>
      </c>
      <c r="B22" s="35" t="n">
        <f aca="false">02_MASTER_UNIT!C18</f>
        <v>8</v>
      </c>
      <c r="C22" s="36" t="n">
        <f aca="false">02_MASTER_UNIT!D18</f>
        <v>380</v>
      </c>
      <c r="D22" s="37" t="str">
        <f aca="false">INDEX(03_FAKTOR!$A$6:$A$10,MATCH($B22,03_FAKTOR!$B$6:$B$10,1))</f>
        <v>Bawah</v>
      </c>
      <c r="E22" s="38" t="n">
        <f aca="false">1+INDEX(03_FAKTOR!$D$6:$D$10,MATCH($B22,03_FAKTOR!$B$6:$B$10,1))+INDEX(03_FAKTOR!$E$6:$E$10,MATCH($B22,03_FAKTOR!$B$6:$B$10,1))*($B22-INDEX(03_FAKTOR!$B$6:$B$10,MATCH($B22,03_FAKTOR!$B$6:$B$10,1)))</f>
        <v>1.007</v>
      </c>
      <c r="F22" s="38" t="n">
        <f aca="false">1+01_ASUMSI!$B$36*LN(($B22+01_ASUMSI!$B$38)/(01_ASUMSI!$B$37+01_ASUMSI!$B$38))</f>
        <v>0.993700822366934</v>
      </c>
      <c r="G22" s="38" t="n">
        <f aca="false">IF(01_ASUMSI!$B$35="ZONA",$E22,$F22)</f>
        <v>1.007</v>
      </c>
      <c r="H22" s="39" t="n">
        <f aca="false">IFERROR(INDEX(03_FAKTOR!$B$14:$B$17,MATCH(02_MASTER_UNIT!E18,03_FAKTOR!$A$14:$A$17,0)),0)</f>
        <v>0</v>
      </c>
      <c r="I22" s="38" t="n">
        <f aca="false">1+$H22-IF($H22&gt;0,MAX(0,$G22-1)*01_ASUMSI!$B$39,0)</f>
        <v>1</v>
      </c>
      <c r="J22" s="38" t="n">
        <f aca="false">1+IFERROR(INDEX(03_FAKTOR!$B$21:$B$25,MATCH(02_MASTER_UNIT!F18,03_FAKTOR!$A$21:$A$25,0)),0)</f>
        <v>1.01</v>
      </c>
      <c r="K22" s="38" t="n">
        <f aca="false">MIN(01_ASUMSI!$B$45,MAX(01_ASUMSI!$B$44,IFERROR((01_ASUMSI!$B$42/$C22)^01_ASUMSI!$B$43,1)))</f>
        <v>0.983391061534468</v>
      </c>
      <c r="L22" s="38" t="n">
        <f aca="false">1+IFERROR(INDEX(03_FAKTOR!$B$29:$B$32,MATCH(02_MASTER_UNIT!G18,03_FAKTOR!$A$29:$A$32,0)),0)</f>
        <v>1.065</v>
      </c>
      <c r="M22" s="38" t="n">
        <f aca="false">1+IFERROR(INDEX(03_FAKTOR!$B$36:$B$39,MATCH(02_MASTER_UNIT!H18,03_FAKTOR!$A$36:$A$39,0)),0)</f>
        <v>1.02</v>
      </c>
      <c r="N22" s="38" t="n">
        <f aca="false">$G22*$I22*$J22*$K22*$L22*$M22</f>
        <v>1.08649286925707</v>
      </c>
      <c r="O22" s="38" t="n">
        <f aca="false">MIN(01_ASUMSI!$B$32,MAX(01_ASUMSI!$B$31,$N22))</f>
        <v>1.08649286925707</v>
      </c>
      <c r="Q22" s="40" t="n">
        <f aca="false">$E$6*$O22</f>
        <v>201561.508605711</v>
      </c>
      <c r="R22" s="40" t="n">
        <f aca="false">$Q22*$E$7</f>
        <v>185138.608279675</v>
      </c>
      <c r="S22" s="40" t="n">
        <f aca="false">ROUND($R22/01_ASUMSI!$B$23,0)*01_ASUMSI!$B$23</f>
        <v>185000</v>
      </c>
      <c r="T22" s="40" t="n">
        <f aca="false">$S22+01_ASUMSI!$B$22</f>
        <v>247000</v>
      </c>
      <c r="U22" s="40" t="n">
        <f aca="false">$S22*$C22</f>
        <v>70300000</v>
      </c>
      <c r="V22" s="40" t="n">
        <f aca="false">01_ASUMSI!$B$22*$C22</f>
        <v>23560000</v>
      </c>
      <c r="W22" s="40" t="n">
        <f aca="false">$U22+$V22</f>
        <v>93860000</v>
      </c>
      <c r="X22" s="40" t="n">
        <f aca="false">$W22*01_ASUMSI!$B$62</f>
        <v>10324600</v>
      </c>
      <c r="Y22" s="40" t="n">
        <f aca="false">$W22+$X22</f>
        <v>104184600</v>
      </c>
      <c r="Z22" s="40" t="n">
        <f aca="false">$W22*01_ASUMSI!$B$61</f>
        <v>9386000</v>
      </c>
      <c r="AA22" s="40" t="n">
        <f aca="false">$W22-$Z22</f>
        <v>84474000</v>
      </c>
      <c r="AB22" s="34" t="str">
        <f aca="false">02_MASTER_UNIT!I18</f>
        <v>Terisi</v>
      </c>
    </row>
    <row r="23" customFormat="false" ht="15" hidden="false" customHeight="false" outlineLevel="0" collapsed="false">
      <c r="A23" s="34" t="str">
        <f aca="false">02_MASTER_UNIT!B19</f>
        <v>MNS-01-08B</v>
      </c>
      <c r="B23" s="35" t="n">
        <f aca="false">02_MASTER_UNIT!C19</f>
        <v>8</v>
      </c>
      <c r="C23" s="36" t="n">
        <f aca="false">02_MASTER_UNIT!D19</f>
        <v>445</v>
      </c>
      <c r="D23" s="37" t="str">
        <f aca="false">INDEX(03_FAKTOR!$A$6:$A$10,MATCH($B23,03_FAKTOR!$B$6:$B$10,1))</f>
        <v>Bawah</v>
      </c>
      <c r="E23" s="38" t="n">
        <f aca="false">1+INDEX(03_FAKTOR!$D$6:$D$10,MATCH($B23,03_FAKTOR!$B$6:$B$10,1))+INDEX(03_FAKTOR!$E$6:$E$10,MATCH($B23,03_FAKTOR!$B$6:$B$10,1))*($B23-INDEX(03_FAKTOR!$B$6:$B$10,MATCH($B23,03_FAKTOR!$B$6:$B$10,1)))</f>
        <v>1.007</v>
      </c>
      <c r="F23" s="38" t="n">
        <f aca="false">1+01_ASUMSI!$B$36*LN(($B23+01_ASUMSI!$B$38)/(01_ASUMSI!$B$37+01_ASUMSI!$B$38))</f>
        <v>0.993700822366934</v>
      </c>
      <c r="G23" s="38" t="n">
        <f aca="false">IF(01_ASUMSI!$B$35="ZONA",$E23,$F23)</f>
        <v>1.007</v>
      </c>
      <c r="H23" s="39" t="n">
        <f aca="false">IFERROR(INDEX(03_FAKTOR!$B$14:$B$17,MATCH(02_MASTER_UNIT!E19,03_FAKTOR!$A$14:$A$17,0)),0)</f>
        <v>-0.03</v>
      </c>
      <c r="I23" s="38" t="n">
        <f aca="false">1+$H23-IF($H23&gt;0,MAX(0,$G23-1)*01_ASUMSI!$B$39,0)</f>
        <v>0.97</v>
      </c>
      <c r="J23" s="38" t="n">
        <f aca="false">1+IFERROR(INDEX(03_FAKTOR!$B$21:$B$25,MATCH(02_MASTER_UNIT!F19,03_FAKTOR!$A$21:$A$25,0)),0)</f>
        <v>1.01</v>
      </c>
      <c r="K23" s="38" t="n">
        <f aca="false">MIN(01_ASUMSI!$B$45,MAX(01_ASUMSI!$B$44,IFERROR((01_ASUMSI!$B$42/$C23)^01_ASUMSI!$B$43,1)))</f>
        <v>0.977199418591963</v>
      </c>
      <c r="L23" s="38" t="n">
        <f aca="false">1+IFERROR(INDEX(03_FAKTOR!$B$29:$B$32,MATCH(02_MASTER_UNIT!G19,03_FAKTOR!$A$29:$A$32,0)),0)</f>
        <v>1</v>
      </c>
      <c r="M23" s="38" t="n">
        <f aca="false">1+IFERROR(INDEX(03_FAKTOR!$B$36:$B$39,MATCH(02_MASTER_UNIT!H19,03_FAKTOR!$A$36:$A$39,0)),0)</f>
        <v>1</v>
      </c>
      <c r="N23" s="38" t="n">
        <f aca="false">$G23*$I23*$J23*$K23*$L23*$M23</f>
        <v>0.964063806287308</v>
      </c>
      <c r="O23" s="38" t="n">
        <f aca="false">MIN(01_ASUMSI!$B$32,MAX(01_ASUMSI!$B$31,$N23))</f>
        <v>0.964063806287308</v>
      </c>
      <c r="Q23" s="40" t="n">
        <f aca="false">$E$6*$O23</f>
        <v>178848.992649447</v>
      </c>
      <c r="R23" s="40" t="n">
        <f aca="false">$Q23*$E$7</f>
        <v>164276.670780992</v>
      </c>
      <c r="S23" s="40" t="n">
        <f aca="false">ROUND($R23/01_ASUMSI!$B$23,0)*01_ASUMSI!$B$23</f>
        <v>164500</v>
      </c>
      <c r="T23" s="40" t="n">
        <f aca="false">$S23+01_ASUMSI!$B$22</f>
        <v>226500</v>
      </c>
      <c r="U23" s="40" t="n">
        <f aca="false">$S23*$C23</f>
        <v>73202500</v>
      </c>
      <c r="V23" s="40" t="n">
        <f aca="false">01_ASUMSI!$B$22*$C23</f>
        <v>27590000</v>
      </c>
      <c r="W23" s="40" t="n">
        <f aca="false">$U23+$V23</f>
        <v>100792500</v>
      </c>
      <c r="X23" s="40" t="n">
        <f aca="false">$W23*01_ASUMSI!$B$62</f>
        <v>11087175</v>
      </c>
      <c r="Y23" s="40" t="n">
        <f aca="false">$W23+$X23</f>
        <v>111879675</v>
      </c>
      <c r="Z23" s="40" t="n">
        <f aca="false">$W23*01_ASUMSI!$B$61</f>
        <v>10079250</v>
      </c>
      <c r="AA23" s="40" t="n">
        <f aca="false">$W23-$Z23</f>
        <v>90713250</v>
      </c>
      <c r="AB23" s="34" t="str">
        <f aca="false">02_MASTER_UNIT!I19</f>
        <v>Terisi</v>
      </c>
    </row>
    <row r="24" customFormat="false" ht="15" hidden="false" customHeight="false" outlineLevel="0" collapsed="false">
      <c r="A24" s="34" t="str">
        <f aca="false">02_MASTER_UNIT!B20</f>
        <v>MNS-01-08C</v>
      </c>
      <c r="B24" s="35" t="n">
        <f aca="false">02_MASTER_UNIT!C20</f>
        <v>8</v>
      </c>
      <c r="C24" s="36" t="n">
        <f aca="false">02_MASTER_UNIT!D20</f>
        <v>375</v>
      </c>
      <c r="D24" s="37" t="str">
        <f aca="false">INDEX(03_FAKTOR!$A$6:$A$10,MATCH($B24,03_FAKTOR!$B$6:$B$10,1))</f>
        <v>Bawah</v>
      </c>
      <c r="E24" s="38" t="n">
        <f aca="false">1+INDEX(03_FAKTOR!$D$6:$D$10,MATCH($B24,03_FAKTOR!$B$6:$B$10,1))+INDEX(03_FAKTOR!$E$6:$E$10,MATCH($B24,03_FAKTOR!$B$6:$B$10,1))*($B24-INDEX(03_FAKTOR!$B$6:$B$10,MATCH($B24,03_FAKTOR!$B$6:$B$10,1)))</f>
        <v>1.007</v>
      </c>
      <c r="F24" s="38" t="n">
        <f aca="false">1+01_ASUMSI!$B$36*LN(($B24+01_ASUMSI!$B$38)/(01_ASUMSI!$B$37+01_ASUMSI!$B$38))</f>
        <v>0.993700822366934</v>
      </c>
      <c r="G24" s="38" t="n">
        <f aca="false">IF(01_ASUMSI!$B$35="ZONA",$E24,$F24)</f>
        <v>1.007</v>
      </c>
      <c r="H24" s="39" t="n">
        <f aca="false">IFERROR(INDEX(03_FAKTOR!$B$14:$B$17,MATCH(02_MASTER_UNIT!E20,03_FAKTOR!$A$14:$A$17,0)),0)</f>
        <v>0</v>
      </c>
      <c r="I24" s="38" t="n">
        <f aca="false">1+$H24-IF($H24&gt;0,MAX(0,$G24-1)*01_ASUMSI!$B$39,0)</f>
        <v>1</v>
      </c>
      <c r="J24" s="38" t="n">
        <f aca="false">1+IFERROR(INDEX(03_FAKTOR!$B$21:$B$25,MATCH(02_MASTER_UNIT!F20,03_FAKTOR!$A$21:$A$25,0)),0)</f>
        <v>1.03</v>
      </c>
      <c r="K24" s="38" t="n">
        <f aca="false">MIN(01_ASUMSI!$B$45,MAX(01_ASUMSI!$B$44,IFERROR((01_ASUMSI!$B$42/$C24)^01_ASUMSI!$B$43,1)))</f>
        <v>0.983912209080385</v>
      </c>
      <c r="L24" s="38" t="n">
        <f aca="false">1+IFERROR(INDEX(03_FAKTOR!$B$29:$B$32,MATCH(02_MASTER_UNIT!G20,03_FAKTOR!$A$29:$A$32,0)),0)</f>
        <v>1.12</v>
      </c>
      <c r="M24" s="38" t="n">
        <f aca="false">1+IFERROR(INDEX(03_FAKTOR!$B$36:$B$39,MATCH(02_MASTER_UNIT!H20,03_FAKTOR!$A$36:$A$39,0)),0)</f>
        <v>1</v>
      </c>
      <c r="N24" s="38" t="n">
        <f aca="false">$G24*$I24*$J24*$K24*$L24*$M24</f>
        <v>1.1429864122659</v>
      </c>
      <c r="O24" s="38" t="n">
        <f aca="false">MIN(01_ASUMSI!$B$32,MAX(01_ASUMSI!$B$31,$N24))</f>
        <v>1.1429864122659</v>
      </c>
      <c r="Q24" s="40" t="n">
        <f aca="false">$E$6*$O24</f>
        <v>212041.949000251</v>
      </c>
      <c r="R24" s="40" t="n">
        <f aca="false">$Q24*$E$7</f>
        <v>194765.11962217</v>
      </c>
      <c r="S24" s="40" t="n">
        <f aca="false">ROUND($R24/01_ASUMSI!$B$23,0)*01_ASUMSI!$B$23</f>
        <v>195000</v>
      </c>
      <c r="T24" s="40" t="n">
        <f aca="false">$S24+01_ASUMSI!$B$22</f>
        <v>257000</v>
      </c>
      <c r="U24" s="40" t="n">
        <f aca="false">$S24*$C24</f>
        <v>73125000</v>
      </c>
      <c r="V24" s="40" t="n">
        <f aca="false">01_ASUMSI!$B$22*$C24</f>
        <v>23250000</v>
      </c>
      <c r="W24" s="40" t="n">
        <f aca="false">$U24+$V24</f>
        <v>96375000</v>
      </c>
      <c r="X24" s="40" t="n">
        <f aca="false">$W24*01_ASUMSI!$B$62</f>
        <v>10601250</v>
      </c>
      <c r="Y24" s="40" t="n">
        <f aca="false">$W24+$X24</f>
        <v>106976250</v>
      </c>
      <c r="Z24" s="40" t="n">
        <f aca="false">$W24*01_ASUMSI!$B$61</f>
        <v>9637500</v>
      </c>
      <c r="AA24" s="40" t="n">
        <f aca="false">$W24-$Z24</f>
        <v>86737500</v>
      </c>
      <c r="AB24" s="34" t="str">
        <f aca="false">02_MASTER_UNIT!I20</f>
        <v>Terisi</v>
      </c>
    </row>
    <row r="25" customFormat="false" ht="15" hidden="false" customHeight="false" outlineLevel="0" collapsed="false">
      <c r="A25" s="34" t="str">
        <f aca="false">02_MASTER_UNIT!B21</f>
        <v>MNS-01-09A</v>
      </c>
      <c r="B25" s="35" t="n">
        <f aca="false">02_MASTER_UNIT!C21</f>
        <v>9</v>
      </c>
      <c r="C25" s="36" t="n">
        <f aca="false">02_MASTER_UNIT!D21</f>
        <v>290</v>
      </c>
      <c r="D25" s="37" t="str">
        <f aca="false">INDEX(03_FAKTOR!$A$6:$A$10,MATCH($B25,03_FAKTOR!$B$6:$B$10,1))</f>
        <v>Bawah</v>
      </c>
      <c r="E25" s="38" t="n">
        <f aca="false">1+INDEX(03_FAKTOR!$D$6:$D$10,MATCH($B25,03_FAKTOR!$B$6:$B$10,1))+INDEX(03_FAKTOR!$E$6:$E$10,MATCH($B25,03_FAKTOR!$B$6:$B$10,1))*($B25-INDEX(03_FAKTOR!$B$6:$B$10,MATCH($B25,03_FAKTOR!$B$6:$B$10,1)))</f>
        <v>1.0105</v>
      </c>
      <c r="F25" s="38" t="n">
        <f aca="false">1+01_ASUMSI!$B$36*LN(($B25+01_ASUMSI!$B$38)/(01_ASUMSI!$B$37+01_ASUMSI!$B$38))</f>
        <v>1</v>
      </c>
      <c r="G25" s="38" t="n">
        <f aca="false">IF(01_ASUMSI!$B$35="ZONA",$E25,$F25)</f>
        <v>1.0105</v>
      </c>
      <c r="H25" s="39" t="n">
        <f aca="false">IFERROR(INDEX(03_FAKTOR!$B$14:$B$17,MATCH(02_MASTER_UNIT!E21,03_FAKTOR!$A$14:$A$17,0)),0)</f>
        <v>-0.03</v>
      </c>
      <c r="I25" s="38" t="n">
        <f aca="false">1+$H25-IF($H25&gt;0,MAX(0,$G25-1)*01_ASUMSI!$B$39,0)</f>
        <v>0.97</v>
      </c>
      <c r="J25" s="38" t="n">
        <f aca="false">1+IFERROR(INDEX(03_FAKTOR!$B$21:$B$25,MATCH(02_MASTER_UNIT!F21,03_FAKTOR!$A$21:$A$25,0)),0)</f>
        <v>1.03</v>
      </c>
      <c r="K25" s="38" t="n">
        <f aca="false">MIN(01_ASUMSI!$B$45,MAX(01_ASUMSI!$B$44,IFERROR((01_ASUMSI!$B$42/$C25)^01_ASUMSI!$B$43,1)))</f>
        <v>0.994080787770959</v>
      </c>
      <c r="L25" s="38" t="n">
        <f aca="false">1+IFERROR(INDEX(03_FAKTOR!$B$29:$B$32,MATCH(02_MASTER_UNIT!G21,03_FAKTOR!$A$29:$A$32,0)),0)</f>
        <v>1.12</v>
      </c>
      <c r="M25" s="38" t="n">
        <f aca="false">1+IFERROR(INDEX(03_FAKTOR!$B$36:$B$39,MATCH(02_MASTER_UNIT!H21,03_FAKTOR!$A$36:$A$39,0)),0)</f>
        <v>1</v>
      </c>
      <c r="N25" s="38" t="n">
        <f aca="false">$G25*$I25*$J25*$K25*$L25*$M25</f>
        <v>1.12404831758253</v>
      </c>
      <c r="O25" s="38" t="n">
        <f aca="false">MIN(01_ASUMSI!$B$32,MAX(01_ASUMSI!$B$31,$N25))</f>
        <v>1.12404831758253</v>
      </c>
      <c r="Q25" s="40" t="n">
        <f aca="false">$E$6*$O25</f>
        <v>208528.63470017</v>
      </c>
      <c r="R25" s="40" t="n">
        <f aca="false">$Q25*$E$7</f>
        <v>191538.064394882</v>
      </c>
      <c r="S25" s="40" t="n">
        <f aca="false">ROUND($R25/01_ASUMSI!$B$23,0)*01_ASUMSI!$B$23</f>
        <v>191500</v>
      </c>
      <c r="T25" s="40" t="n">
        <f aca="false">$S25+01_ASUMSI!$B$22</f>
        <v>253500</v>
      </c>
      <c r="U25" s="40" t="n">
        <f aca="false">$S25*$C25</f>
        <v>55535000</v>
      </c>
      <c r="V25" s="40" t="n">
        <f aca="false">01_ASUMSI!$B$22*$C25</f>
        <v>17980000</v>
      </c>
      <c r="W25" s="40" t="n">
        <f aca="false">$U25+$V25</f>
        <v>73515000</v>
      </c>
      <c r="X25" s="40" t="n">
        <f aca="false">$W25*01_ASUMSI!$B$62</f>
        <v>8086650</v>
      </c>
      <c r="Y25" s="40" t="n">
        <f aca="false">$W25+$X25</f>
        <v>81601650</v>
      </c>
      <c r="Z25" s="40" t="n">
        <f aca="false">$W25*01_ASUMSI!$B$61</f>
        <v>7351500</v>
      </c>
      <c r="AA25" s="40" t="n">
        <f aca="false">$W25-$Z25</f>
        <v>66163500</v>
      </c>
      <c r="AB25" s="34" t="str">
        <f aca="false">02_MASTER_UNIT!I21</f>
        <v>Terisi</v>
      </c>
    </row>
    <row r="26" customFormat="false" ht="15" hidden="false" customHeight="false" outlineLevel="0" collapsed="false">
      <c r="A26" s="34" t="str">
        <f aca="false">02_MASTER_UNIT!B22</f>
        <v>MNS-01-09B</v>
      </c>
      <c r="B26" s="35" t="n">
        <f aca="false">02_MASTER_UNIT!C22</f>
        <v>9</v>
      </c>
      <c r="C26" s="36" t="n">
        <f aca="false">02_MASTER_UNIT!D22</f>
        <v>285</v>
      </c>
      <c r="D26" s="37" t="str">
        <f aca="false">INDEX(03_FAKTOR!$A$6:$A$10,MATCH($B26,03_FAKTOR!$B$6:$B$10,1))</f>
        <v>Bawah</v>
      </c>
      <c r="E26" s="38" t="n">
        <f aca="false">1+INDEX(03_FAKTOR!$D$6:$D$10,MATCH($B26,03_FAKTOR!$B$6:$B$10,1))+INDEX(03_FAKTOR!$E$6:$E$10,MATCH($B26,03_FAKTOR!$B$6:$B$10,1))*($B26-INDEX(03_FAKTOR!$B$6:$B$10,MATCH($B26,03_FAKTOR!$B$6:$B$10,1)))</f>
        <v>1.0105</v>
      </c>
      <c r="F26" s="38" t="n">
        <f aca="false">1+01_ASUMSI!$B$36*LN(($B26+01_ASUMSI!$B$38)/(01_ASUMSI!$B$37+01_ASUMSI!$B$38))</f>
        <v>1</v>
      </c>
      <c r="G26" s="38" t="n">
        <f aca="false">IF(01_ASUMSI!$B$35="ZONA",$E26,$F26)</f>
        <v>1.0105</v>
      </c>
      <c r="H26" s="39" t="n">
        <f aca="false">IFERROR(INDEX(03_FAKTOR!$B$14:$B$17,MATCH(02_MASTER_UNIT!E22,03_FAKTOR!$A$14:$A$17,0)),0)</f>
        <v>0.03</v>
      </c>
      <c r="I26" s="38" t="n">
        <f aca="false">1+$H26-IF($H26&gt;0,MAX(0,$G26-1)*01_ASUMSI!$B$39,0)</f>
        <v>1.027165</v>
      </c>
      <c r="J26" s="38" t="n">
        <f aca="false">1+IFERROR(INDEX(03_FAKTOR!$B$21:$B$25,MATCH(02_MASTER_UNIT!F22,03_FAKTOR!$A$21:$A$25,0)),0)</f>
        <v>1.01</v>
      </c>
      <c r="K26" s="38" t="n">
        <f aca="false">MIN(01_ASUMSI!$B$45,MAX(01_ASUMSI!$B$44,IFERROR((01_ASUMSI!$B$42/$C26)^01_ASUMSI!$B$43,1)))</f>
        <v>0.99477258026443</v>
      </c>
      <c r="L26" s="38" t="n">
        <f aca="false">1+IFERROR(INDEX(03_FAKTOR!$B$29:$B$32,MATCH(02_MASTER_UNIT!G22,03_FAKTOR!$A$29:$A$32,0)),0)</f>
        <v>1.065</v>
      </c>
      <c r="M26" s="38" t="n">
        <f aca="false">1+IFERROR(INDEX(03_FAKTOR!$B$36:$B$39,MATCH(02_MASTER_UNIT!H22,03_FAKTOR!$A$36:$A$39,0)),0)</f>
        <v>1</v>
      </c>
      <c r="N26" s="38" t="n">
        <f aca="false">$G26*$I26*$J26*$K26*$L26*$M26</f>
        <v>1.11063490417298</v>
      </c>
      <c r="O26" s="38" t="n">
        <f aca="false">MIN(01_ASUMSI!$B$32,MAX(01_ASUMSI!$B$31,$N26))</f>
        <v>1.11063490417298</v>
      </c>
      <c r="Q26" s="40" t="n">
        <f aca="false">$E$6*$O26</f>
        <v>206040.235632967</v>
      </c>
      <c r="R26" s="40" t="n">
        <f aca="false">$Q26*$E$7</f>
        <v>189252.415992401</v>
      </c>
      <c r="S26" s="40" t="n">
        <f aca="false">ROUND($R26/01_ASUMSI!$B$23,0)*01_ASUMSI!$B$23</f>
        <v>189500</v>
      </c>
      <c r="T26" s="40" t="n">
        <f aca="false">$S26+01_ASUMSI!$B$22</f>
        <v>251500</v>
      </c>
      <c r="U26" s="40" t="n">
        <f aca="false">$S26*$C26</f>
        <v>54007500</v>
      </c>
      <c r="V26" s="40" t="n">
        <f aca="false">01_ASUMSI!$B$22*$C26</f>
        <v>17670000</v>
      </c>
      <c r="W26" s="40" t="n">
        <f aca="false">$U26+$V26</f>
        <v>71677500</v>
      </c>
      <c r="X26" s="40" t="n">
        <f aca="false">$W26*01_ASUMSI!$B$62</f>
        <v>7884525</v>
      </c>
      <c r="Y26" s="40" t="n">
        <f aca="false">$W26+$X26</f>
        <v>79562025</v>
      </c>
      <c r="Z26" s="40" t="n">
        <f aca="false">$W26*01_ASUMSI!$B$61</f>
        <v>7167750</v>
      </c>
      <c r="AA26" s="40" t="n">
        <f aca="false">$W26-$Z26</f>
        <v>64509750</v>
      </c>
      <c r="AB26" s="34" t="str">
        <f aca="false">02_MASTER_UNIT!I22</f>
        <v>Terisi</v>
      </c>
    </row>
    <row r="27" customFormat="false" ht="15" hidden="false" customHeight="false" outlineLevel="0" collapsed="false">
      <c r="A27" s="34" t="str">
        <f aca="false">02_MASTER_UNIT!B23</f>
        <v>MNS-01-09C</v>
      </c>
      <c r="B27" s="35" t="n">
        <f aca="false">02_MASTER_UNIT!C23</f>
        <v>9</v>
      </c>
      <c r="C27" s="36" t="n">
        <f aca="false">02_MASTER_UNIT!D23</f>
        <v>290</v>
      </c>
      <c r="D27" s="37" t="str">
        <f aca="false">INDEX(03_FAKTOR!$A$6:$A$10,MATCH($B27,03_FAKTOR!$B$6:$B$10,1))</f>
        <v>Bawah</v>
      </c>
      <c r="E27" s="38" t="n">
        <f aca="false">1+INDEX(03_FAKTOR!$D$6:$D$10,MATCH($B27,03_FAKTOR!$B$6:$B$10,1))+INDEX(03_FAKTOR!$E$6:$E$10,MATCH($B27,03_FAKTOR!$B$6:$B$10,1))*($B27-INDEX(03_FAKTOR!$B$6:$B$10,MATCH($B27,03_FAKTOR!$B$6:$B$10,1)))</f>
        <v>1.0105</v>
      </c>
      <c r="F27" s="38" t="n">
        <f aca="false">1+01_ASUMSI!$B$36*LN(($B27+01_ASUMSI!$B$38)/(01_ASUMSI!$B$37+01_ASUMSI!$B$38))</f>
        <v>1</v>
      </c>
      <c r="G27" s="38" t="n">
        <f aca="false">IF(01_ASUMSI!$B$35="ZONA",$E27,$F27)</f>
        <v>1.0105</v>
      </c>
      <c r="H27" s="39" t="n">
        <f aca="false">IFERROR(INDEX(03_FAKTOR!$B$14:$B$17,MATCH(02_MASTER_UNIT!E23,03_FAKTOR!$A$14:$A$17,0)),0)</f>
        <v>0.03</v>
      </c>
      <c r="I27" s="38" t="n">
        <f aca="false">1+$H27-IF($H27&gt;0,MAX(0,$G27-1)*01_ASUMSI!$B$39,0)</f>
        <v>1.027165</v>
      </c>
      <c r="J27" s="38" t="n">
        <f aca="false">1+IFERROR(INDEX(03_FAKTOR!$B$21:$B$25,MATCH(02_MASTER_UNIT!F23,03_FAKTOR!$A$21:$A$25,0)),0)</f>
        <v>1</v>
      </c>
      <c r="K27" s="38" t="n">
        <f aca="false">MIN(01_ASUMSI!$B$45,MAX(01_ASUMSI!$B$44,IFERROR((01_ASUMSI!$B$42/$C27)^01_ASUMSI!$B$43,1)))</f>
        <v>0.994080787770959</v>
      </c>
      <c r="L27" s="38" t="n">
        <f aca="false">1+IFERROR(INDEX(03_FAKTOR!$B$29:$B$32,MATCH(02_MASTER_UNIT!G23,03_FAKTOR!$A$29:$A$32,0)),0)</f>
        <v>1</v>
      </c>
      <c r="M27" s="38" t="n">
        <f aca="false">1+IFERROR(INDEX(03_FAKTOR!$B$36:$B$39,MATCH(02_MASTER_UNIT!H23,03_FAKTOR!$A$36:$A$39,0)),0)</f>
        <v>1</v>
      </c>
      <c r="N27" s="38" t="n">
        <f aca="false">$G27*$I27*$J27*$K27*$L27*$M27</f>
        <v>1.03180638479065</v>
      </c>
      <c r="O27" s="38" t="n">
        <f aca="false">MIN(01_ASUMSI!$B$32,MAX(01_ASUMSI!$B$31,$N27))</f>
        <v>1.03180638479065</v>
      </c>
      <c r="Q27" s="40" t="n">
        <f aca="false">$E$6*$O27</f>
        <v>191416.305980561</v>
      </c>
      <c r="R27" s="40" t="n">
        <f aca="false">$Q27*$E$7</f>
        <v>175820.020084298</v>
      </c>
      <c r="S27" s="40" t="n">
        <f aca="false">ROUND($R27/01_ASUMSI!$B$23,0)*01_ASUMSI!$B$23</f>
        <v>176000</v>
      </c>
      <c r="T27" s="40" t="n">
        <f aca="false">$S27+01_ASUMSI!$B$22</f>
        <v>238000</v>
      </c>
      <c r="U27" s="40" t="n">
        <f aca="false">$S27*$C27</f>
        <v>51040000</v>
      </c>
      <c r="V27" s="40" t="n">
        <f aca="false">01_ASUMSI!$B$22*$C27</f>
        <v>17980000</v>
      </c>
      <c r="W27" s="40" t="n">
        <f aca="false">$U27+$V27</f>
        <v>69020000</v>
      </c>
      <c r="X27" s="40" t="n">
        <f aca="false">$W27*01_ASUMSI!$B$62</f>
        <v>7592200</v>
      </c>
      <c r="Y27" s="40" t="n">
        <f aca="false">$W27+$X27</f>
        <v>76612200</v>
      </c>
      <c r="Z27" s="40" t="n">
        <f aca="false">$W27*01_ASUMSI!$B$61</f>
        <v>6902000</v>
      </c>
      <c r="AA27" s="40" t="n">
        <f aca="false">$W27-$Z27</f>
        <v>62118000</v>
      </c>
      <c r="AB27" s="34" t="str">
        <f aca="false">02_MASTER_UNIT!I23</f>
        <v>Terisi</v>
      </c>
    </row>
    <row r="28" customFormat="false" ht="15" hidden="false" customHeight="false" outlineLevel="0" collapsed="false">
      <c r="A28" s="34" t="str">
        <f aca="false">02_MASTER_UNIT!B24</f>
        <v>MNS-01-09D</v>
      </c>
      <c r="B28" s="35" t="n">
        <f aca="false">02_MASTER_UNIT!C24</f>
        <v>9</v>
      </c>
      <c r="C28" s="36" t="n">
        <f aca="false">02_MASTER_UNIT!D24</f>
        <v>335</v>
      </c>
      <c r="D28" s="37" t="str">
        <f aca="false">INDEX(03_FAKTOR!$A$6:$A$10,MATCH($B28,03_FAKTOR!$B$6:$B$10,1))</f>
        <v>Bawah</v>
      </c>
      <c r="E28" s="38" t="n">
        <f aca="false">1+INDEX(03_FAKTOR!$D$6:$D$10,MATCH($B28,03_FAKTOR!$B$6:$B$10,1))+INDEX(03_FAKTOR!$E$6:$E$10,MATCH($B28,03_FAKTOR!$B$6:$B$10,1))*($B28-INDEX(03_FAKTOR!$B$6:$B$10,MATCH($B28,03_FAKTOR!$B$6:$B$10,1)))</f>
        <v>1.0105</v>
      </c>
      <c r="F28" s="38" t="n">
        <f aca="false">1+01_ASUMSI!$B$36*LN(($B28+01_ASUMSI!$B$38)/(01_ASUMSI!$B$37+01_ASUMSI!$B$38))</f>
        <v>1</v>
      </c>
      <c r="G28" s="38" t="n">
        <f aca="false">IF(01_ASUMSI!$B$35="ZONA",$E28,$F28)</f>
        <v>1.0105</v>
      </c>
      <c r="H28" s="39" t="n">
        <f aca="false">IFERROR(INDEX(03_FAKTOR!$B$14:$B$17,MATCH(02_MASTER_UNIT!E24,03_FAKTOR!$A$14:$A$17,0)),0)</f>
        <v>0</v>
      </c>
      <c r="I28" s="38" t="n">
        <f aca="false">1+$H28-IF($H28&gt;0,MAX(0,$G28-1)*01_ASUMSI!$B$39,0)</f>
        <v>1</v>
      </c>
      <c r="J28" s="38" t="n">
        <f aca="false">1+IFERROR(INDEX(03_FAKTOR!$B$21:$B$25,MATCH(02_MASTER_UNIT!F24,03_FAKTOR!$A$21:$A$25,0)),0)</f>
        <v>0.985</v>
      </c>
      <c r="K28" s="38" t="n">
        <f aca="false">MIN(01_ASUMSI!$B$45,MAX(01_ASUMSI!$B$44,IFERROR((01_ASUMSI!$B$42/$C28)^01_ASUMSI!$B$43,1)))</f>
        <v>0.988361473224469</v>
      </c>
      <c r="L28" s="38" t="n">
        <f aca="false">1+IFERROR(INDEX(03_FAKTOR!$B$29:$B$32,MATCH(02_MASTER_UNIT!G24,03_FAKTOR!$A$29:$A$32,0)),0)</f>
        <v>1.035</v>
      </c>
      <c r="M28" s="38" t="n">
        <f aca="false">1+IFERROR(INDEX(03_FAKTOR!$B$36:$B$39,MATCH(02_MASTER_UNIT!H24,03_FAKTOR!$A$36:$A$39,0)),0)</f>
        <v>1</v>
      </c>
      <c r="N28" s="38" t="n">
        <f aca="false">$G28*$I28*$J28*$K28*$L28*$M28</f>
        <v>1.01818971595113</v>
      </c>
      <c r="O28" s="38" t="n">
        <f aca="false">MIN(01_ASUMSI!$B$32,MAX(01_ASUMSI!$B$31,$N28))</f>
        <v>1.01818971595113</v>
      </c>
      <c r="Q28" s="40" t="n">
        <f aca="false">$E$6*$O28</f>
        <v>188890.199835608</v>
      </c>
      <c r="R28" s="40" t="n">
        <f aca="false">$Q28*$E$7</f>
        <v>173499.736914765</v>
      </c>
      <c r="S28" s="40" t="n">
        <f aca="false">ROUND($R28/01_ASUMSI!$B$23,0)*01_ASUMSI!$B$23</f>
        <v>173500</v>
      </c>
      <c r="T28" s="40" t="n">
        <f aca="false">$S28+01_ASUMSI!$B$22</f>
        <v>235500</v>
      </c>
      <c r="U28" s="40" t="n">
        <f aca="false">$S28*$C28</f>
        <v>58122500</v>
      </c>
      <c r="V28" s="40" t="n">
        <f aca="false">01_ASUMSI!$B$22*$C28</f>
        <v>20770000</v>
      </c>
      <c r="W28" s="40" t="n">
        <f aca="false">$U28+$V28</f>
        <v>78892500</v>
      </c>
      <c r="X28" s="40" t="n">
        <f aca="false">$W28*01_ASUMSI!$B$62</f>
        <v>8678175</v>
      </c>
      <c r="Y28" s="40" t="n">
        <f aca="false">$W28+$X28</f>
        <v>87570675</v>
      </c>
      <c r="Z28" s="40" t="n">
        <f aca="false">$W28*01_ASUMSI!$B$61</f>
        <v>7889250</v>
      </c>
      <c r="AA28" s="40" t="n">
        <f aca="false">$W28-$Z28</f>
        <v>71003250</v>
      </c>
      <c r="AB28" s="34" t="str">
        <f aca="false">02_MASTER_UNIT!I24</f>
        <v>Terisi</v>
      </c>
    </row>
    <row r="29" customFormat="false" ht="15" hidden="false" customHeight="false" outlineLevel="0" collapsed="false">
      <c r="A29" s="34" t="str">
        <f aca="false">02_MASTER_UNIT!B25</f>
        <v>MNS-01-10A</v>
      </c>
      <c r="B29" s="35" t="n">
        <f aca="false">02_MASTER_UNIT!C25</f>
        <v>10</v>
      </c>
      <c r="C29" s="36" t="n">
        <f aca="false">02_MASTER_UNIT!D25</f>
        <v>255</v>
      </c>
      <c r="D29" s="37" t="str">
        <f aca="false">INDEX(03_FAKTOR!$A$6:$A$10,MATCH($B29,03_FAKTOR!$B$6:$B$10,1))</f>
        <v>Bawah</v>
      </c>
      <c r="E29" s="38" t="n">
        <f aca="false">1+INDEX(03_FAKTOR!$D$6:$D$10,MATCH($B29,03_FAKTOR!$B$6:$B$10,1))+INDEX(03_FAKTOR!$E$6:$E$10,MATCH($B29,03_FAKTOR!$B$6:$B$10,1))*($B29-INDEX(03_FAKTOR!$B$6:$B$10,MATCH($B29,03_FAKTOR!$B$6:$B$10,1)))</f>
        <v>1.014</v>
      </c>
      <c r="F29" s="38" t="n">
        <f aca="false">1+01_ASUMSI!$B$36*LN(($B29+01_ASUMSI!$B$38)/(01_ASUMSI!$B$37+01_ASUMSI!$B$38))</f>
        <v>1.00586439407639</v>
      </c>
      <c r="G29" s="38" t="n">
        <f aca="false">IF(01_ASUMSI!$B$35="ZONA",$E29,$F29)</f>
        <v>1.014</v>
      </c>
      <c r="H29" s="39" t="n">
        <f aca="false">IFERROR(INDEX(03_FAKTOR!$B$14:$B$17,MATCH(02_MASTER_UNIT!E25,03_FAKTOR!$A$14:$A$17,0)),0)</f>
        <v>-0.03</v>
      </c>
      <c r="I29" s="38" t="n">
        <f aca="false">1+$H29-IF($H29&gt;0,MAX(0,$G29-1)*01_ASUMSI!$B$39,0)</f>
        <v>0.97</v>
      </c>
      <c r="J29" s="38" t="n">
        <f aca="false">1+IFERROR(INDEX(03_FAKTOR!$B$21:$B$25,MATCH(02_MASTER_UNIT!F25,03_FAKTOR!$A$21:$A$25,0)),0)</f>
        <v>1.03</v>
      </c>
      <c r="K29" s="38" t="n">
        <f aca="false">MIN(01_ASUMSI!$B$45,MAX(01_ASUMSI!$B$44,IFERROR((01_ASUMSI!$B$42/$C29)^01_ASUMSI!$B$43,1)))</f>
        <v>0.999208208540576</v>
      </c>
      <c r="L29" s="38" t="n">
        <f aca="false">1+IFERROR(INDEX(03_FAKTOR!$B$29:$B$32,MATCH(02_MASTER_UNIT!G25,03_FAKTOR!$A$29:$A$32,0)),0)</f>
        <v>1.065</v>
      </c>
      <c r="M29" s="38" t="n">
        <f aca="false">1+IFERROR(INDEX(03_FAKTOR!$B$36:$B$39,MATCH(02_MASTER_UNIT!H25,03_FAKTOR!$A$36:$A$39,0)),0)</f>
        <v>1</v>
      </c>
      <c r="N29" s="38" t="n">
        <f aca="false">$G29*$I29*$J29*$K29*$L29*$M29</f>
        <v>1.07808378704222</v>
      </c>
      <c r="O29" s="38" t="n">
        <f aca="false">MIN(01_ASUMSI!$B$32,MAX(01_ASUMSI!$B$31,$N29))</f>
        <v>1.07808378704222</v>
      </c>
      <c r="Q29" s="40" t="n">
        <f aca="false">$E$6*$O29</f>
        <v>200001.491650999</v>
      </c>
      <c r="R29" s="40" t="n">
        <f aca="false">$Q29*$E$7</f>
        <v>183705.698941548</v>
      </c>
      <c r="S29" s="40" t="n">
        <f aca="false">ROUND($R29/01_ASUMSI!$B$23,0)*01_ASUMSI!$B$23</f>
        <v>183500</v>
      </c>
      <c r="T29" s="40" t="n">
        <f aca="false">$S29+01_ASUMSI!$B$22</f>
        <v>245500</v>
      </c>
      <c r="U29" s="40" t="n">
        <f aca="false">$S29*$C29</f>
        <v>46792500</v>
      </c>
      <c r="V29" s="40" t="n">
        <f aca="false">01_ASUMSI!$B$22*$C29</f>
        <v>15810000</v>
      </c>
      <c r="W29" s="40" t="n">
        <f aca="false">$U29+$V29</f>
        <v>62602500</v>
      </c>
      <c r="X29" s="40" t="n">
        <f aca="false">$W29*01_ASUMSI!$B$62</f>
        <v>6886275</v>
      </c>
      <c r="Y29" s="40" t="n">
        <f aca="false">$W29+$X29</f>
        <v>69488775</v>
      </c>
      <c r="Z29" s="40" t="n">
        <f aca="false">$W29*01_ASUMSI!$B$61</f>
        <v>6260250</v>
      </c>
      <c r="AA29" s="40" t="n">
        <f aca="false">$W29-$Z29</f>
        <v>56342250</v>
      </c>
      <c r="AB29" s="34" t="str">
        <f aca="false">02_MASTER_UNIT!I25</f>
        <v>Terisi</v>
      </c>
    </row>
    <row r="30" customFormat="false" ht="15" hidden="false" customHeight="false" outlineLevel="0" collapsed="false">
      <c r="A30" s="34" t="str">
        <f aca="false">02_MASTER_UNIT!B26</f>
        <v>MNS-01-10B</v>
      </c>
      <c r="B30" s="35" t="n">
        <f aca="false">02_MASTER_UNIT!C26</f>
        <v>10</v>
      </c>
      <c r="C30" s="36" t="n">
        <f aca="false">02_MASTER_UNIT!D26</f>
        <v>300</v>
      </c>
      <c r="D30" s="37" t="str">
        <f aca="false">INDEX(03_FAKTOR!$A$6:$A$10,MATCH($B30,03_FAKTOR!$B$6:$B$10,1))</f>
        <v>Bawah</v>
      </c>
      <c r="E30" s="38" t="n">
        <f aca="false">1+INDEX(03_FAKTOR!$D$6:$D$10,MATCH($B30,03_FAKTOR!$B$6:$B$10,1))+INDEX(03_FAKTOR!$E$6:$E$10,MATCH($B30,03_FAKTOR!$B$6:$B$10,1))*($B30-INDEX(03_FAKTOR!$B$6:$B$10,MATCH($B30,03_FAKTOR!$B$6:$B$10,1)))</f>
        <v>1.014</v>
      </c>
      <c r="F30" s="38" t="n">
        <f aca="false">1+01_ASUMSI!$B$36*LN(($B30+01_ASUMSI!$B$38)/(01_ASUMSI!$B$37+01_ASUMSI!$B$38))</f>
        <v>1.00586439407639</v>
      </c>
      <c r="G30" s="38" t="n">
        <f aca="false">IF(01_ASUMSI!$B$35="ZONA",$E30,$F30)</f>
        <v>1.014</v>
      </c>
      <c r="H30" s="39" t="n">
        <f aca="false">IFERROR(INDEX(03_FAKTOR!$B$14:$B$17,MATCH(02_MASTER_UNIT!E26,03_FAKTOR!$A$14:$A$17,0)),0)</f>
        <v>0.03</v>
      </c>
      <c r="I30" s="38" t="n">
        <f aca="false">1+$H30-IF($H30&gt;0,MAX(0,$G30-1)*01_ASUMSI!$B$39,0)</f>
        <v>1.02622</v>
      </c>
      <c r="J30" s="38" t="n">
        <f aca="false">1+IFERROR(INDEX(03_FAKTOR!$B$21:$B$25,MATCH(02_MASTER_UNIT!F26,03_FAKTOR!$A$21:$A$25,0)),0)</f>
        <v>1</v>
      </c>
      <c r="K30" s="38" t="n">
        <f aca="false">MIN(01_ASUMSI!$B$45,MAX(01_ASUMSI!$B$44,IFERROR((01_ASUMSI!$B$42/$C30)^01_ASUMSI!$B$43,1)))</f>
        <v>0.992733666119824</v>
      </c>
      <c r="L30" s="38" t="n">
        <f aca="false">1+IFERROR(INDEX(03_FAKTOR!$B$29:$B$32,MATCH(02_MASTER_UNIT!G26,03_FAKTOR!$A$29:$A$32,0)),0)</f>
        <v>1</v>
      </c>
      <c r="M30" s="38" t="n">
        <f aca="false">1+IFERROR(INDEX(03_FAKTOR!$B$36:$B$39,MATCH(02_MASTER_UNIT!H26,03_FAKTOR!$A$36:$A$39,0)),0)</f>
        <v>0.975</v>
      </c>
      <c r="N30" s="38" t="n">
        <f aca="false">$G30*$I30*$J30*$K30*$L30*$M30</f>
        <v>1.00720018117419</v>
      </c>
      <c r="O30" s="38" t="n">
        <f aca="false">MIN(01_ASUMSI!$B$32,MAX(01_ASUMSI!$B$31,$N30))</f>
        <v>1.00720018117419</v>
      </c>
      <c r="Q30" s="40" t="n">
        <f aca="false">$E$6*$O30</f>
        <v>186851.468361899</v>
      </c>
      <c r="R30" s="40" t="n">
        <f aca="false">$Q30*$E$7</f>
        <v>171627.117929576</v>
      </c>
      <c r="S30" s="40" t="n">
        <f aca="false">ROUND($R30/01_ASUMSI!$B$23,0)*01_ASUMSI!$B$23</f>
        <v>171500</v>
      </c>
      <c r="T30" s="40" t="n">
        <f aca="false">$S30+01_ASUMSI!$B$22</f>
        <v>233500</v>
      </c>
      <c r="U30" s="40" t="n">
        <f aca="false">$S30*$C30</f>
        <v>51450000</v>
      </c>
      <c r="V30" s="40" t="n">
        <f aca="false">01_ASUMSI!$B$22*$C30</f>
        <v>18600000</v>
      </c>
      <c r="W30" s="40" t="n">
        <f aca="false">$U30+$V30</f>
        <v>70050000</v>
      </c>
      <c r="X30" s="40" t="n">
        <f aca="false">$W30*01_ASUMSI!$B$62</f>
        <v>7705500</v>
      </c>
      <c r="Y30" s="40" t="n">
        <f aca="false">$W30+$X30</f>
        <v>77755500</v>
      </c>
      <c r="Z30" s="40" t="n">
        <f aca="false">$W30*01_ASUMSI!$B$61</f>
        <v>7005000</v>
      </c>
      <c r="AA30" s="40" t="n">
        <f aca="false">$W30-$Z30</f>
        <v>63045000</v>
      </c>
      <c r="AB30" s="34" t="str">
        <f aca="false">02_MASTER_UNIT!I26</f>
        <v>Terisi</v>
      </c>
    </row>
    <row r="31" customFormat="false" ht="15" hidden="false" customHeight="false" outlineLevel="0" collapsed="false">
      <c r="A31" s="34" t="str">
        <f aca="false">02_MASTER_UNIT!B27</f>
        <v>MNS-01-10C</v>
      </c>
      <c r="B31" s="35" t="n">
        <f aca="false">02_MASTER_UNIT!C27</f>
        <v>10</v>
      </c>
      <c r="C31" s="36" t="n">
        <f aca="false">02_MASTER_UNIT!D27</f>
        <v>330</v>
      </c>
      <c r="D31" s="37" t="str">
        <f aca="false">INDEX(03_FAKTOR!$A$6:$A$10,MATCH($B31,03_FAKTOR!$B$6:$B$10,1))</f>
        <v>Bawah</v>
      </c>
      <c r="E31" s="38" t="n">
        <f aca="false">1+INDEX(03_FAKTOR!$D$6:$D$10,MATCH($B31,03_FAKTOR!$B$6:$B$10,1))+INDEX(03_FAKTOR!$E$6:$E$10,MATCH($B31,03_FAKTOR!$B$6:$B$10,1))*($B31-INDEX(03_FAKTOR!$B$6:$B$10,MATCH($B31,03_FAKTOR!$B$6:$B$10,1)))</f>
        <v>1.014</v>
      </c>
      <c r="F31" s="38" t="n">
        <f aca="false">1+01_ASUMSI!$B$36*LN(($B31+01_ASUMSI!$B$38)/(01_ASUMSI!$B$37+01_ASUMSI!$B$38))</f>
        <v>1.00586439407639</v>
      </c>
      <c r="G31" s="38" t="n">
        <f aca="false">IF(01_ASUMSI!$B$35="ZONA",$E31,$F31)</f>
        <v>1.014</v>
      </c>
      <c r="H31" s="39" t="n">
        <f aca="false">IFERROR(INDEX(03_FAKTOR!$B$14:$B$17,MATCH(02_MASTER_UNIT!E27,03_FAKTOR!$A$14:$A$17,0)),0)</f>
        <v>-0.03</v>
      </c>
      <c r="I31" s="38" t="n">
        <f aca="false">1+$H31-IF($H31&gt;0,MAX(0,$G31-1)*01_ASUMSI!$B$39,0)</f>
        <v>0.97</v>
      </c>
      <c r="J31" s="38" t="n">
        <f aca="false">1+IFERROR(INDEX(03_FAKTOR!$B$21:$B$25,MATCH(02_MASTER_UNIT!F27,03_FAKTOR!$A$21:$A$25,0)),0)</f>
        <v>1.01</v>
      </c>
      <c r="K31" s="38" t="n">
        <f aca="false">MIN(01_ASUMSI!$B$45,MAX(01_ASUMSI!$B$44,IFERROR((01_ASUMSI!$B$42/$C31)^01_ASUMSI!$B$43,1)))</f>
        <v>0.988956166410049</v>
      </c>
      <c r="L31" s="38" t="n">
        <f aca="false">1+IFERROR(INDEX(03_FAKTOR!$B$29:$B$32,MATCH(02_MASTER_UNIT!G27,03_FAKTOR!$A$29:$A$32,0)),0)</f>
        <v>1.035</v>
      </c>
      <c r="M31" s="38" t="n">
        <f aca="false">1+IFERROR(INDEX(03_FAKTOR!$B$36:$B$39,MATCH(02_MASTER_UNIT!H27,03_FAKTOR!$A$36:$A$39,0)),0)</f>
        <v>1.015</v>
      </c>
      <c r="N31" s="38" t="n">
        <f aca="false">$G31*$I31*$J31*$K31*$L31*$M31</f>
        <v>1.03208269873777</v>
      </c>
      <c r="O31" s="38" t="n">
        <f aca="false">MIN(01_ASUMSI!$B$32,MAX(01_ASUMSI!$B$31,$N31))</f>
        <v>1.03208269873777</v>
      </c>
      <c r="Q31" s="40" t="n">
        <f aca="false">$E$6*$O31</f>
        <v>191467.566561837</v>
      </c>
      <c r="R31" s="40" t="n">
        <f aca="false">$Q31*$E$7</f>
        <v>175867.104037691</v>
      </c>
      <c r="S31" s="40" t="n">
        <f aca="false">ROUND($R31/01_ASUMSI!$B$23,0)*01_ASUMSI!$B$23</f>
        <v>176000</v>
      </c>
      <c r="T31" s="40" t="n">
        <f aca="false">$S31+01_ASUMSI!$B$22</f>
        <v>238000</v>
      </c>
      <c r="U31" s="40" t="n">
        <f aca="false">$S31*$C31</f>
        <v>58080000</v>
      </c>
      <c r="V31" s="40" t="n">
        <f aca="false">01_ASUMSI!$B$22*$C31</f>
        <v>20460000</v>
      </c>
      <c r="W31" s="40" t="n">
        <f aca="false">$U31+$V31</f>
        <v>78540000</v>
      </c>
      <c r="X31" s="40" t="n">
        <f aca="false">$W31*01_ASUMSI!$B$62</f>
        <v>8639400</v>
      </c>
      <c r="Y31" s="40" t="n">
        <f aca="false">$W31+$X31</f>
        <v>87179400</v>
      </c>
      <c r="Z31" s="40" t="n">
        <f aca="false">$W31*01_ASUMSI!$B$61</f>
        <v>7854000</v>
      </c>
      <c r="AA31" s="40" t="n">
        <f aca="false">$W31-$Z31</f>
        <v>70686000</v>
      </c>
      <c r="AB31" s="34" t="str">
        <f aca="false">02_MASTER_UNIT!I27</f>
        <v>Terisi</v>
      </c>
    </row>
    <row r="32" customFormat="false" ht="15" hidden="false" customHeight="false" outlineLevel="0" collapsed="false">
      <c r="A32" s="34" t="str">
        <f aca="false">02_MASTER_UNIT!B28</f>
        <v>MNS-01-10D</v>
      </c>
      <c r="B32" s="35" t="n">
        <f aca="false">02_MASTER_UNIT!C28</f>
        <v>10</v>
      </c>
      <c r="C32" s="36" t="n">
        <f aca="false">02_MASTER_UNIT!D28</f>
        <v>315</v>
      </c>
      <c r="D32" s="37" t="str">
        <f aca="false">INDEX(03_FAKTOR!$A$6:$A$10,MATCH($B32,03_FAKTOR!$B$6:$B$10,1))</f>
        <v>Bawah</v>
      </c>
      <c r="E32" s="38" t="n">
        <f aca="false">1+INDEX(03_FAKTOR!$D$6:$D$10,MATCH($B32,03_FAKTOR!$B$6:$B$10,1))+INDEX(03_FAKTOR!$E$6:$E$10,MATCH($B32,03_FAKTOR!$B$6:$B$10,1))*($B32-INDEX(03_FAKTOR!$B$6:$B$10,MATCH($B32,03_FAKTOR!$B$6:$B$10,1)))</f>
        <v>1.014</v>
      </c>
      <c r="F32" s="38" t="n">
        <f aca="false">1+01_ASUMSI!$B$36*LN(($B32+01_ASUMSI!$B$38)/(01_ASUMSI!$B$37+01_ASUMSI!$B$38))</f>
        <v>1.00586439407639</v>
      </c>
      <c r="G32" s="38" t="n">
        <f aca="false">IF(01_ASUMSI!$B$35="ZONA",$E32,$F32)</f>
        <v>1.014</v>
      </c>
      <c r="H32" s="39" t="n">
        <f aca="false">IFERROR(INDEX(03_FAKTOR!$B$14:$B$17,MATCH(02_MASTER_UNIT!E28,03_FAKTOR!$A$14:$A$17,0)),0)</f>
        <v>-0.03</v>
      </c>
      <c r="I32" s="38" t="n">
        <f aca="false">1+$H32-IF($H32&gt;0,MAX(0,$G32-1)*01_ASUMSI!$B$39,0)</f>
        <v>0.97</v>
      </c>
      <c r="J32" s="38" t="n">
        <f aca="false">1+IFERROR(INDEX(03_FAKTOR!$B$21:$B$25,MATCH(02_MASTER_UNIT!F28,03_FAKTOR!$A$21:$A$25,0)),0)</f>
        <v>1.03</v>
      </c>
      <c r="K32" s="38" t="n">
        <f aca="false">MIN(01_ASUMSI!$B$45,MAX(01_ASUMSI!$B$44,IFERROR((01_ASUMSI!$B$42/$C32)^01_ASUMSI!$B$43,1)))</f>
        <v>0.990798129894901</v>
      </c>
      <c r="L32" s="38" t="n">
        <f aca="false">1+IFERROR(INDEX(03_FAKTOR!$B$29:$B$32,MATCH(02_MASTER_UNIT!G28,03_FAKTOR!$A$29:$A$32,0)),0)</f>
        <v>1</v>
      </c>
      <c r="M32" s="38" t="n">
        <f aca="false">1+IFERROR(INDEX(03_FAKTOR!$B$36:$B$39,MATCH(02_MASTER_UNIT!H28,03_FAKTOR!$A$36:$A$39,0)),0)</f>
        <v>1.015</v>
      </c>
      <c r="N32" s="38" t="n">
        <f aca="false">$G32*$I32*$J32*$K32*$L32*$M32</f>
        <v>1.01882157786019</v>
      </c>
      <c r="O32" s="38" t="n">
        <f aca="false">MIN(01_ASUMSI!$B$32,MAX(01_ASUMSI!$B$31,$N32))</f>
        <v>1.01882157786019</v>
      </c>
      <c r="Q32" s="40" t="n">
        <f aca="false">$E$6*$O32</f>
        <v>189007.420153591</v>
      </c>
      <c r="R32" s="40" t="n">
        <f aca="false">$Q32*$E$7</f>
        <v>173607.406313966</v>
      </c>
      <c r="S32" s="40" t="n">
        <f aca="false">ROUND($R32/01_ASUMSI!$B$23,0)*01_ASUMSI!$B$23</f>
        <v>173500</v>
      </c>
      <c r="T32" s="40" t="n">
        <f aca="false">$S32+01_ASUMSI!$B$22</f>
        <v>235500</v>
      </c>
      <c r="U32" s="40" t="n">
        <f aca="false">$S32*$C32</f>
        <v>54652500</v>
      </c>
      <c r="V32" s="40" t="n">
        <f aca="false">01_ASUMSI!$B$22*$C32</f>
        <v>19530000</v>
      </c>
      <c r="W32" s="40" t="n">
        <f aca="false">$U32+$V32</f>
        <v>74182500</v>
      </c>
      <c r="X32" s="40" t="n">
        <f aca="false">$W32*01_ASUMSI!$B$62</f>
        <v>8160075</v>
      </c>
      <c r="Y32" s="40" t="n">
        <f aca="false">$W32+$X32</f>
        <v>82342575</v>
      </c>
      <c r="Z32" s="40" t="n">
        <f aca="false">$W32*01_ASUMSI!$B$61</f>
        <v>7418250</v>
      </c>
      <c r="AA32" s="40" t="n">
        <f aca="false">$W32-$Z32</f>
        <v>66764250</v>
      </c>
      <c r="AB32" s="34" t="str">
        <f aca="false">02_MASTER_UNIT!I28</f>
        <v>Terisi</v>
      </c>
    </row>
    <row r="33" customFormat="false" ht="15" hidden="false" customHeight="false" outlineLevel="0" collapsed="false">
      <c r="A33" s="34" t="str">
        <f aca="false">02_MASTER_UNIT!B29</f>
        <v>MNS-01-11A</v>
      </c>
      <c r="B33" s="35" t="n">
        <f aca="false">02_MASTER_UNIT!C29</f>
        <v>11</v>
      </c>
      <c r="C33" s="36" t="n">
        <f aca="false">02_MASTER_UNIT!D29</f>
        <v>440</v>
      </c>
      <c r="D33" s="37" t="str">
        <f aca="false">INDEX(03_FAKTOR!$A$6:$A$10,MATCH($B33,03_FAKTOR!$B$6:$B$10,1))</f>
        <v>Bawah</v>
      </c>
      <c r="E33" s="38" t="n">
        <f aca="false">1+INDEX(03_FAKTOR!$D$6:$D$10,MATCH($B33,03_FAKTOR!$B$6:$B$10,1))+INDEX(03_FAKTOR!$E$6:$E$10,MATCH($B33,03_FAKTOR!$B$6:$B$10,1))*($B33-INDEX(03_FAKTOR!$B$6:$B$10,MATCH($B33,03_FAKTOR!$B$6:$B$10,1)))</f>
        <v>1.0175</v>
      </c>
      <c r="F33" s="38" t="n">
        <f aca="false">1+01_ASUMSI!$B$36*LN(($B33+01_ASUMSI!$B$38)/(01_ASUMSI!$B$37+01_ASUMSI!$B$38))</f>
        <v>1.01135016837308</v>
      </c>
      <c r="G33" s="38" t="n">
        <f aca="false">IF(01_ASUMSI!$B$35="ZONA",$E33,$F33)</f>
        <v>1.0175</v>
      </c>
      <c r="H33" s="39" t="n">
        <f aca="false">IFERROR(INDEX(03_FAKTOR!$B$14:$B$17,MATCH(02_MASTER_UNIT!E29,03_FAKTOR!$A$14:$A$17,0)),0)</f>
        <v>0.03</v>
      </c>
      <c r="I33" s="38" t="n">
        <f aca="false">1+$H33-IF($H33&gt;0,MAX(0,$G33-1)*01_ASUMSI!$B$39,0)</f>
        <v>1.025275</v>
      </c>
      <c r="J33" s="38" t="n">
        <f aca="false">1+IFERROR(INDEX(03_FAKTOR!$B$21:$B$25,MATCH(02_MASTER_UNIT!F29,03_FAKTOR!$A$21:$A$25,0)),0)</f>
        <v>1.03</v>
      </c>
      <c r="K33" s="38" t="n">
        <f aca="false">MIN(01_ASUMSI!$B$45,MAX(01_ASUMSI!$B$44,IFERROR((01_ASUMSI!$B$42/$C33)^01_ASUMSI!$B$43,1)))</f>
        <v>0.977641195175</v>
      </c>
      <c r="L33" s="38" t="n">
        <f aca="false">1+IFERROR(INDEX(03_FAKTOR!$B$29:$B$32,MATCH(02_MASTER_UNIT!G29,03_FAKTOR!$A$29:$A$32,0)),0)</f>
        <v>1</v>
      </c>
      <c r="M33" s="38" t="n">
        <f aca="false">1+IFERROR(INDEX(03_FAKTOR!$B$36:$B$39,MATCH(02_MASTER_UNIT!H29,03_FAKTOR!$A$36:$A$39,0)),0)</f>
        <v>1</v>
      </c>
      <c r="N33" s="38" t="n">
        <f aca="false">$G33*$I33*$J33*$K33*$L33*$M33</f>
        <v>1.05048898682634</v>
      </c>
      <c r="O33" s="38" t="n">
        <f aca="false">MIN(01_ASUMSI!$B$32,MAX(01_ASUMSI!$B$31,$N33))</f>
        <v>1.05048898682634</v>
      </c>
      <c r="Q33" s="40" t="n">
        <f aca="false">$E$6*$O33</f>
        <v>194882.222377757</v>
      </c>
      <c r="R33" s="40" t="n">
        <f aca="false">$Q33*$E$7</f>
        <v>179003.539311899</v>
      </c>
      <c r="S33" s="40" t="n">
        <f aca="false">ROUND($R33/01_ASUMSI!$B$23,0)*01_ASUMSI!$B$23</f>
        <v>179000</v>
      </c>
      <c r="T33" s="40" t="n">
        <f aca="false">$S33+01_ASUMSI!$B$22</f>
        <v>241000</v>
      </c>
      <c r="U33" s="40" t="n">
        <f aca="false">$S33*$C33</f>
        <v>78760000</v>
      </c>
      <c r="V33" s="40" t="n">
        <f aca="false">01_ASUMSI!$B$22*$C33</f>
        <v>27280000</v>
      </c>
      <c r="W33" s="40" t="n">
        <f aca="false">$U33+$V33</f>
        <v>106040000</v>
      </c>
      <c r="X33" s="40" t="n">
        <f aca="false">$W33*01_ASUMSI!$B$62</f>
        <v>11664400</v>
      </c>
      <c r="Y33" s="40" t="n">
        <f aca="false">$W33+$X33</f>
        <v>117704400</v>
      </c>
      <c r="Z33" s="40" t="n">
        <f aca="false">$W33*01_ASUMSI!$B$61</f>
        <v>10604000</v>
      </c>
      <c r="AA33" s="40" t="n">
        <f aca="false">$W33-$Z33</f>
        <v>95436000</v>
      </c>
      <c r="AB33" s="34" t="str">
        <f aca="false">02_MASTER_UNIT!I29</f>
        <v>Terisi</v>
      </c>
    </row>
    <row r="34" customFormat="false" ht="15" hidden="false" customHeight="false" outlineLevel="0" collapsed="false">
      <c r="A34" s="34" t="str">
        <f aca="false">02_MASTER_UNIT!B30</f>
        <v>MNS-01-11B</v>
      </c>
      <c r="B34" s="35" t="n">
        <f aca="false">02_MASTER_UNIT!C30</f>
        <v>11</v>
      </c>
      <c r="C34" s="36" t="n">
        <f aca="false">02_MASTER_UNIT!D30</f>
        <v>310</v>
      </c>
      <c r="D34" s="37" t="str">
        <f aca="false">INDEX(03_FAKTOR!$A$6:$A$10,MATCH($B34,03_FAKTOR!$B$6:$B$10,1))</f>
        <v>Bawah</v>
      </c>
      <c r="E34" s="38" t="n">
        <f aca="false">1+INDEX(03_FAKTOR!$D$6:$D$10,MATCH($B34,03_FAKTOR!$B$6:$B$10,1))+INDEX(03_FAKTOR!$E$6:$E$10,MATCH($B34,03_FAKTOR!$B$6:$B$10,1))*($B34-INDEX(03_FAKTOR!$B$6:$B$10,MATCH($B34,03_FAKTOR!$B$6:$B$10,1)))</f>
        <v>1.0175</v>
      </c>
      <c r="F34" s="38" t="n">
        <f aca="false">1+01_ASUMSI!$B$36*LN(($B34+01_ASUMSI!$B$38)/(01_ASUMSI!$B$37+01_ASUMSI!$B$38))</f>
        <v>1.01135016837308</v>
      </c>
      <c r="G34" s="38" t="n">
        <f aca="false">IF(01_ASUMSI!$B$35="ZONA",$E34,$F34)</f>
        <v>1.0175</v>
      </c>
      <c r="H34" s="39" t="n">
        <f aca="false">IFERROR(INDEX(03_FAKTOR!$B$14:$B$17,MATCH(02_MASTER_UNIT!E30,03_FAKTOR!$A$14:$A$17,0)),0)</f>
        <v>0.03</v>
      </c>
      <c r="I34" s="38" t="n">
        <f aca="false">1+$H34-IF($H34&gt;0,MAX(0,$G34-1)*01_ASUMSI!$B$39,0)</f>
        <v>1.025275</v>
      </c>
      <c r="J34" s="38" t="n">
        <f aca="false">1+IFERROR(INDEX(03_FAKTOR!$B$21:$B$25,MATCH(02_MASTER_UNIT!F30,03_FAKTOR!$A$21:$A$25,0)),0)</f>
        <v>0.975</v>
      </c>
      <c r="K34" s="38" t="n">
        <f aca="false">MIN(01_ASUMSI!$B$45,MAX(01_ASUMSI!$B$44,IFERROR((01_ASUMSI!$B$42/$C34)^01_ASUMSI!$B$43,1)))</f>
        <v>0.991432457193664</v>
      </c>
      <c r="L34" s="38" t="n">
        <f aca="false">1+IFERROR(INDEX(03_FAKTOR!$B$29:$B$32,MATCH(02_MASTER_UNIT!G30,03_FAKTOR!$A$29:$A$32,0)),0)</f>
        <v>1</v>
      </c>
      <c r="M34" s="38" t="n">
        <f aca="false">1+IFERROR(INDEX(03_FAKTOR!$B$36:$B$39,MATCH(02_MASTER_UNIT!H30,03_FAKTOR!$A$36:$A$39,0)),0)</f>
        <v>1</v>
      </c>
      <c r="N34" s="38" t="n">
        <f aca="false">$G34*$I34*$J34*$K34*$L34*$M34</f>
        <v>1.00842251593087</v>
      </c>
      <c r="O34" s="38" t="n">
        <f aca="false">MIN(01_ASUMSI!$B$32,MAX(01_ASUMSI!$B$31,$N34))</f>
        <v>1.00842251593087</v>
      </c>
      <c r="Q34" s="40" t="n">
        <f aca="false">$E$6*$O34</f>
        <v>187078.230676268</v>
      </c>
      <c r="R34" s="40" t="n">
        <f aca="false">$Q34*$E$7</f>
        <v>171835.4040234</v>
      </c>
      <c r="S34" s="40" t="n">
        <f aca="false">ROUND($R34/01_ASUMSI!$B$23,0)*01_ASUMSI!$B$23</f>
        <v>172000</v>
      </c>
      <c r="T34" s="40" t="n">
        <f aca="false">$S34+01_ASUMSI!$B$22</f>
        <v>234000</v>
      </c>
      <c r="U34" s="40" t="n">
        <f aca="false">$S34*$C34</f>
        <v>53320000</v>
      </c>
      <c r="V34" s="40" t="n">
        <f aca="false">01_ASUMSI!$B$22*$C34</f>
        <v>19220000</v>
      </c>
      <c r="W34" s="40" t="n">
        <f aca="false">$U34+$V34</f>
        <v>72540000</v>
      </c>
      <c r="X34" s="40" t="n">
        <f aca="false">$W34*01_ASUMSI!$B$62</f>
        <v>7979400</v>
      </c>
      <c r="Y34" s="40" t="n">
        <f aca="false">$W34+$X34</f>
        <v>80519400</v>
      </c>
      <c r="Z34" s="40" t="n">
        <f aca="false">$W34*01_ASUMSI!$B$61</f>
        <v>7254000</v>
      </c>
      <c r="AA34" s="40" t="n">
        <f aca="false">$W34-$Z34</f>
        <v>65286000</v>
      </c>
      <c r="AB34" s="34" t="str">
        <f aca="false">02_MASTER_UNIT!I30</f>
        <v>Terisi</v>
      </c>
    </row>
    <row r="35" customFormat="false" ht="15" hidden="false" customHeight="false" outlineLevel="0" collapsed="false">
      <c r="A35" s="34" t="str">
        <f aca="false">02_MASTER_UNIT!B31</f>
        <v>MNS-01-11C</v>
      </c>
      <c r="B35" s="35" t="n">
        <f aca="false">02_MASTER_UNIT!C31</f>
        <v>11</v>
      </c>
      <c r="C35" s="36" t="n">
        <f aca="false">02_MASTER_UNIT!D31</f>
        <v>450</v>
      </c>
      <c r="D35" s="37" t="str">
        <f aca="false">INDEX(03_FAKTOR!$A$6:$A$10,MATCH($B35,03_FAKTOR!$B$6:$B$10,1))</f>
        <v>Bawah</v>
      </c>
      <c r="E35" s="38" t="n">
        <f aca="false">1+INDEX(03_FAKTOR!$D$6:$D$10,MATCH($B35,03_FAKTOR!$B$6:$B$10,1))+INDEX(03_FAKTOR!$E$6:$E$10,MATCH($B35,03_FAKTOR!$B$6:$B$10,1))*($B35-INDEX(03_FAKTOR!$B$6:$B$10,MATCH($B35,03_FAKTOR!$B$6:$B$10,1)))</f>
        <v>1.0175</v>
      </c>
      <c r="F35" s="38" t="n">
        <f aca="false">1+01_ASUMSI!$B$36*LN(($B35+01_ASUMSI!$B$38)/(01_ASUMSI!$B$37+01_ASUMSI!$B$38))</f>
        <v>1.01135016837308</v>
      </c>
      <c r="G35" s="38" t="n">
        <f aca="false">IF(01_ASUMSI!$B$35="ZONA",$E35,$F35)</f>
        <v>1.0175</v>
      </c>
      <c r="H35" s="39" t="n">
        <f aca="false">IFERROR(INDEX(03_FAKTOR!$B$14:$B$17,MATCH(02_MASTER_UNIT!E31,03_FAKTOR!$A$14:$A$17,0)),0)</f>
        <v>0.03</v>
      </c>
      <c r="I35" s="38" t="n">
        <f aca="false">1+$H35-IF($H35&gt;0,MAX(0,$G35-1)*01_ASUMSI!$B$39,0)</f>
        <v>1.025275</v>
      </c>
      <c r="J35" s="38" t="n">
        <f aca="false">1+IFERROR(INDEX(03_FAKTOR!$B$21:$B$25,MATCH(02_MASTER_UNIT!F31,03_FAKTOR!$A$21:$A$25,0)),0)</f>
        <v>0.985</v>
      </c>
      <c r="K35" s="38" t="n">
        <f aca="false">MIN(01_ASUMSI!$B$45,MAX(01_ASUMSI!$B$44,IFERROR((01_ASUMSI!$B$42/$C35)^01_ASUMSI!$B$43,1)))</f>
        <v>0.976762774460425</v>
      </c>
      <c r="L35" s="38" t="n">
        <f aca="false">1+IFERROR(INDEX(03_FAKTOR!$B$29:$B$32,MATCH(02_MASTER_UNIT!G31,03_FAKTOR!$A$29:$A$32,0)),0)</f>
        <v>1.035</v>
      </c>
      <c r="M35" s="38" t="n">
        <f aca="false">1+IFERROR(INDEX(03_FAKTOR!$B$36:$B$39,MATCH(02_MASTER_UNIT!H31,03_FAKTOR!$A$36:$A$39,0)),0)</f>
        <v>0.975</v>
      </c>
      <c r="N35" s="38" t="n">
        <f aca="false">$G35*$I35*$J35*$K35*$L35*$M35</f>
        <v>1.01284988116545</v>
      </c>
      <c r="O35" s="38" t="n">
        <f aca="false">MIN(01_ASUMSI!$B$32,MAX(01_ASUMSI!$B$31,$N35))</f>
        <v>1.01284988116545</v>
      </c>
      <c r="Q35" s="40" t="n">
        <f aca="false">$E$6*$O35</f>
        <v>187899.576532353</v>
      </c>
      <c r="R35" s="40" t="n">
        <f aca="false">$Q35*$E$7</f>
        <v>172589.827969538</v>
      </c>
      <c r="S35" s="40" t="n">
        <f aca="false">ROUND($R35/01_ASUMSI!$B$23,0)*01_ASUMSI!$B$23</f>
        <v>172500</v>
      </c>
      <c r="T35" s="40" t="n">
        <f aca="false">$S35+01_ASUMSI!$B$22</f>
        <v>234500</v>
      </c>
      <c r="U35" s="40" t="n">
        <f aca="false">$S35*$C35</f>
        <v>77625000</v>
      </c>
      <c r="V35" s="40" t="n">
        <f aca="false">01_ASUMSI!$B$22*$C35</f>
        <v>27900000</v>
      </c>
      <c r="W35" s="40" t="n">
        <f aca="false">$U35+$V35</f>
        <v>105525000</v>
      </c>
      <c r="X35" s="40" t="n">
        <f aca="false">$W35*01_ASUMSI!$B$62</f>
        <v>11607750</v>
      </c>
      <c r="Y35" s="40" t="n">
        <f aca="false">$W35+$X35</f>
        <v>117132750</v>
      </c>
      <c r="Z35" s="40" t="n">
        <f aca="false">$W35*01_ASUMSI!$B$61</f>
        <v>10552500</v>
      </c>
      <c r="AA35" s="40" t="n">
        <f aca="false">$W35-$Z35</f>
        <v>94972500</v>
      </c>
      <c r="AB35" s="34" t="str">
        <f aca="false">02_MASTER_UNIT!I31</f>
        <v>Terisi</v>
      </c>
    </row>
    <row r="36" customFormat="false" ht="15" hidden="false" customHeight="false" outlineLevel="0" collapsed="false">
      <c r="A36" s="34" t="str">
        <f aca="false">02_MASTER_UNIT!B32</f>
        <v>MNS-01-12A</v>
      </c>
      <c r="B36" s="35" t="n">
        <f aca="false">02_MASTER_UNIT!C32</f>
        <v>12</v>
      </c>
      <c r="C36" s="36" t="n">
        <f aca="false">02_MASTER_UNIT!D32</f>
        <v>320</v>
      </c>
      <c r="D36" s="37" t="str">
        <f aca="false">INDEX(03_FAKTOR!$A$6:$A$10,MATCH($B36,03_FAKTOR!$B$6:$B$10,1))</f>
        <v>Bawah</v>
      </c>
      <c r="E36" s="38" t="n">
        <f aca="false">1+INDEX(03_FAKTOR!$D$6:$D$10,MATCH($B36,03_FAKTOR!$B$6:$B$10,1))+INDEX(03_FAKTOR!$E$6:$E$10,MATCH($B36,03_FAKTOR!$B$6:$B$10,1))*($B36-INDEX(03_FAKTOR!$B$6:$B$10,MATCH($B36,03_FAKTOR!$B$6:$B$10,1)))</f>
        <v>1.021</v>
      </c>
      <c r="F36" s="38" t="n">
        <f aca="false">1+01_ASUMSI!$B$36*LN(($B36+01_ASUMSI!$B$38)/(01_ASUMSI!$B$37+01_ASUMSI!$B$38))</f>
        <v>1.01650326122748</v>
      </c>
      <c r="G36" s="38" t="n">
        <f aca="false">IF(01_ASUMSI!$B$35="ZONA",$E36,$F36)</f>
        <v>1.021</v>
      </c>
      <c r="H36" s="39" t="n">
        <f aca="false">IFERROR(INDEX(03_FAKTOR!$B$14:$B$17,MATCH(02_MASTER_UNIT!E32,03_FAKTOR!$A$14:$A$17,0)),0)</f>
        <v>0</v>
      </c>
      <c r="I36" s="38" t="n">
        <f aca="false">1+$H36-IF($H36&gt;0,MAX(0,$G36-1)*01_ASUMSI!$B$39,0)</f>
        <v>1</v>
      </c>
      <c r="J36" s="38" t="n">
        <f aca="false">1+IFERROR(INDEX(03_FAKTOR!$B$21:$B$25,MATCH(02_MASTER_UNIT!F32,03_FAKTOR!$A$21:$A$25,0)),0)</f>
        <v>1.01</v>
      </c>
      <c r="K36" s="38" t="n">
        <f aca="false">MIN(01_ASUMSI!$B$45,MAX(01_ASUMSI!$B$44,IFERROR((01_ASUMSI!$B$42/$C36)^01_ASUMSI!$B$43,1)))</f>
        <v>0.990174188731179</v>
      </c>
      <c r="L36" s="38" t="n">
        <f aca="false">1+IFERROR(INDEX(03_FAKTOR!$B$29:$B$32,MATCH(02_MASTER_UNIT!G32,03_FAKTOR!$A$29:$A$32,0)),0)</f>
        <v>1.065</v>
      </c>
      <c r="M36" s="38" t="n">
        <f aca="false">1+IFERROR(INDEX(03_FAKTOR!$B$36:$B$39,MATCH(02_MASTER_UNIT!H32,03_FAKTOR!$A$36:$A$39,0)),0)</f>
        <v>1.02</v>
      </c>
      <c r="N36" s="38" t="n">
        <f aca="false">$G36*$I36*$J36*$K36*$L36*$M36</f>
        <v>1.10919651558291</v>
      </c>
      <c r="O36" s="38" t="n">
        <f aca="false">MIN(01_ASUMSI!$B$32,MAX(01_ASUMSI!$B$31,$N36))</f>
        <v>1.10919651558291</v>
      </c>
      <c r="Q36" s="40" t="n">
        <f aca="false">$E$6*$O36</f>
        <v>205773.391935804</v>
      </c>
      <c r="R36" s="40" t="n">
        <f aca="false">$Q36*$E$7</f>
        <v>189007.314280954</v>
      </c>
      <c r="S36" s="40" t="n">
        <f aca="false">ROUND($R36/01_ASUMSI!$B$23,0)*01_ASUMSI!$B$23</f>
        <v>189000</v>
      </c>
      <c r="T36" s="40" t="n">
        <f aca="false">$S36+01_ASUMSI!$B$22</f>
        <v>251000</v>
      </c>
      <c r="U36" s="40" t="n">
        <f aca="false">$S36*$C36</f>
        <v>60480000</v>
      </c>
      <c r="V36" s="40" t="n">
        <f aca="false">01_ASUMSI!$B$22*$C36</f>
        <v>19840000</v>
      </c>
      <c r="W36" s="40" t="n">
        <f aca="false">$U36+$V36</f>
        <v>80320000</v>
      </c>
      <c r="X36" s="40" t="n">
        <f aca="false">$W36*01_ASUMSI!$B$62</f>
        <v>8835200</v>
      </c>
      <c r="Y36" s="40" t="n">
        <f aca="false">$W36+$X36</f>
        <v>89155200</v>
      </c>
      <c r="Z36" s="40" t="n">
        <f aca="false">$W36*01_ASUMSI!$B$61</f>
        <v>8032000</v>
      </c>
      <c r="AA36" s="40" t="n">
        <f aca="false">$W36-$Z36</f>
        <v>72288000</v>
      </c>
      <c r="AB36" s="34" t="str">
        <f aca="false">02_MASTER_UNIT!I32</f>
        <v>Terisi</v>
      </c>
    </row>
    <row r="37" customFormat="false" ht="15" hidden="false" customHeight="false" outlineLevel="0" collapsed="false">
      <c r="A37" s="34" t="str">
        <f aca="false">02_MASTER_UNIT!B33</f>
        <v>MNS-01-12B</v>
      </c>
      <c r="B37" s="35" t="n">
        <f aca="false">02_MASTER_UNIT!C33</f>
        <v>12</v>
      </c>
      <c r="C37" s="36" t="n">
        <f aca="false">02_MASTER_UNIT!D33</f>
        <v>315</v>
      </c>
      <c r="D37" s="37" t="str">
        <f aca="false">INDEX(03_FAKTOR!$A$6:$A$10,MATCH($B37,03_FAKTOR!$B$6:$B$10,1))</f>
        <v>Bawah</v>
      </c>
      <c r="E37" s="38" t="n">
        <f aca="false">1+INDEX(03_FAKTOR!$D$6:$D$10,MATCH($B37,03_FAKTOR!$B$6:$B$10,1))+INDEX(03_FAKTOR!$E$6:$E$10,MATCH($B37,03_FAKTOR!$B$6:$B$10,1))*($B37-INDEX(03_FAKTOR!$B$6:$B$10,MATCH($B37,03_FAKTOR!$B$6:$B$10,1)))</f>
        <v>1.021</v>
      </c>
      <c r="F37" s="38" t="n">
        <f aca="false">1+01_ASUMSI!$B$36*LN(($B37+01_ASUMSI!$B$38)/(01_ASUMSI!$B$37+01_ASUMSI!$B$38))</f>
        <v>1.01650326122748</v>
      </c>
      <c r="G37" s="38" t="n">
        <f aca="false">IF(01_ASUMSI!$B$35="ZONA",$E37,$F37)</f>
        <v>1.021</v>
      </c>
      <c r="H37" s="39" t="n">
        <f aca="false">IFERROR(INDEX(03_FAKTOR!$B$14:$B$17,MATCH(02_MASTER_UNIT!E33,03_FAKTOR!$A$14:$A$17,0)),0)</f>
        <v>0.03</v>
      </c>
      <c r="I37" s="38" t="n">
        <f aca="false">1+$H37-IF($H37&gt;0,MAX(0,$G37-1)*01_ASUMSI!$B$39,0)</f>
        <v>1.02433</v>
      </c>
      <c r="J37" s="38" t="n">
        <f aca="false">1+IFERROR(INDEX(03_FAKTOR!$B$21:$B$25,MATCH(02_MASTER_UNIT!F33,03_FAKTOR!$A$21:$A$25,0)),0)</f>
        <v>0.975</v>
      </c>
      <c r="K37" s="38" t="n">
        <f aca="false">MIN(01_ASUMSI!$B$45,MAX(01_ASUMSI!$B$44,IFERROR((01_ASUMSI!$B$42/$C37)^01_ASUMSI!$B$43,1)))</f>
        <v>0.990798129894901</v>
      </c>
      <c r="L37" s="38" t="n">
        <f aca="false">1+IFERROR(INDEX(03_FAKTOR!$B$29:$B$32,MATCH(02_MASTER_UNIT!G33,03_FAKTOR!$A$29:$A$32,0)),0)</f>
        <v>1.065</v>
      </c>
      <c r="M37" s="38" t="n">
        <f aca="false">1+IFERROR(INDEX(03_FAKTOR!$B$36:$B$39,MATCH(02_MASTER_UNIT!H33,03_FAKTOR!$A$36:$A$39,0)),0)</f>
        <v>1</v>
      </c>
      <c r="N37" s="38" t="n">
        <f aca="false">$G37*$I37*$J37*$K37*$L37*$M37</f>
        <v>1.07598207410489</v>
      </c>
      <c r="O37" s="38" t="n">
        <f aca="false">MIN(01_ASUMSI!$B$32,MAX(01_ASUMSI!$B$31,$N37))</f>
        <v>1.07598207410489</v>
      </c>
      <c r="Q37" s="40" t="n">
        <f aca="false">$E$6*$O37</f>
        <v>199611.590858927</v>
      </c>
      <c r="R37" s="40" t="n">
        <f aca="false">$Q37*$E$7</f>
        <v>183347.566624963</v>
      </c>
      <c r="S37" s="40" t="n">
        <f aca="false">ROUND($R37/01_ASUMSI!$B$23,0)*01_ASUMSI!$B$23</f>
        <v>183500</v>
      </c>
      <c r="T37" s="40" t="n">
        <f aca="false">$S37+01_ASUMSI!$B$22</f>
        <v>245500</v>
      </c>
      <c r="U37" s="40" t="n">
        <f aca="false">$S37*$C37</f>
        <v>57802500</v>
      </c>
      <c r="V37" s="40" t="n">
        <f aca="false">01_ASUMSI!$B$22*$C37</f>
        <v>19530000</v>
      </c>
      <c r="W37" s="40" t="n">
        <f aca="false">$U37+$V37</f>
        <v>77332500</v>
      </c>
      <c r="X37" s="40" t="n">
        <f aca="false">$W37*01_ASUMSI!$B$62</f>
        <v>8506575</v>
      </c>
      <c r="Y37" s="40" t="n">
        <f aca="false">$W37+$X37</f>
        <v>85839075</v>
      </c>
      <c r="Z37" s="40" t="n">
        <f aca="false">$W37*01_ASUMSI!$B$61</f>
        <v>7733250</v>
      </c>
      <c r="AA37" s="40" t="n">
        <f aca="false">$W37-$Z37</f>
        <v>69599250</v>
      </c>
      <c r="AB37" s="34" t="str">
        <f aca="false">02_MASTER_UNIT!I33</f>
        <v>Kosong</v>
      </c>
    </row>
    <row r="38" customFormat="false" ht="15" hidden="false" customHeight="false" outlineLevel="0" collapsed="false">
      <c r="A38" s="34" t="str">
        <f aca="false">02_MASTER_UNIT!B34</f>
        <v>MNS-01-12C</v>
      </c>
      <c r="B38" s="35" t="n">
        <f aca="false">02_MASTER_UNIT!C34</f>
        <v>12</v>
      </c>
      <c r="C38" s="36" t="n">
        <f aca="false">02_MASTER_UNIT!D34</f>
        <v>240</v>
      </c>
      <c r="D38" s="37" t="str">
        <f aca="false">INDEX(03_FAKTOR!$A$6:$A$10,MATCH($B38,03_FAKTOR!$B$6:$B$10,1))</f>
        <v>Bawah</v>
      </c>
      <c r="E38" s="38" t="n">
        <f aca="false">1+INDEX(03_FAKTOR!$D$6:$D$10,MATCH($B38,03_FAKTOR!$B$6:$B$10,1))+INDEX(03_FAKTOR!$E$6:$E$10,MATCH($B38,03_FAKTOR!$B$6:$B$10,1))*($B38-INDEX(03_FAKTOR!$B$6:$B$10,MATCH($B38,03_FAKTOR!$B$6:$B$10,1)))</f>
        <v>1.021</v>
      </c>
      <c r="F38" s="38" t="n">
        <f aca="false">1+01_ASUMSI!$B$36*LN(($B38+01_ASUMSI!$B$38)/(01_ASUMSI!$B$37+01_ASUMSI!$B$38))</f>
        <v>1.01650326122748</v>
      </c>
      <c r="G38" s="38" t="n">
        <f aca="false">IF(01_ASUMSI!$B$35="ZONA",$E38,$F38)</f>
        <v>1.021</v>
      </c>
      <c r="H38" s="39" t="n">
        <f aca="false">IFERROR(INDEX(03_FAKTOR!$B$14:$B$17,MATCH(02_MASTER_UNIT!E34,03_FAKTOR!$A$14:$A$17,0)),0)</f>
        <v>-0.03</v>
      </c>
      <c r="I38" s="38" t="n">
        <f aca="false">1+$H38-IF($H38&gt;0,MAX(0,$G38-1)*01_ASUMSI!$B$39,0)</f>
        <v>0.97</v>
      </c>
      <c r="J38" s="38" t="n">
        <f aca="false">1+IFERROR(INDEX(03_FAKTOR!$B$21:$B$25,MATCH(02_MASTER_UNIT!F34,03_FAKTOR!$A$21:$A$25,0)),0)</f>
        <v>1</v>
      </c>
      <c r="K38" s="38" t="n">
        <f aca="false">MIN(01_ASUMSI!$B$45,MAX(01_ASUMSI!$B$44,IFERROR((01_ASUMSI!$B$42/$C38)^01_ASUMSI!$B$43,1)))</f>
        <v>1.00163421365492</v>
      </c>
      <c r="L38" s="38" t="n">
        <f aca="false">1+IFERROR(INDEX(03_FAKTOR!$B$29:$B$32,MATCH(02_MASTER_UNIT!G34,03_FAKTOR!$A$29:$A$32,0)),0)</f>
        <v>1.065</v>
      </c>
      <c r="M38" s="38" t="n">
        <f aca="false">1+IFERROR(INDEX(03_FAKTOR!$B$36:$B$39,MATCH(02_MASTER_UNIT!H34,03_FAKTOR!$A$36:$A$39,0)),0)</f>
        <v>1.015</v>
      </c>
      <c r="N38" s="38" t="n">
        <f aca="false">$G38*$I38*$J38*$K38*$L38*$M38</f>
        <v>1.07231474303589</v>
      </c>
      <c r="O38" s="38" t="n">
        <f aca="false">MIN(01_ASUMSI!$B$32,MAX(01_ASUMSI!$B$31,$N38))</f>
        <v>1.07231474303589</v>
      </c>
      <c r="Q38" s="40" t="n">
        <f aca="false">$E$6*$O38</f>
        <v>198931.243289477</v>
      </c>
      <c r="R38" s="40" t="n">
        <f aca="false">$Q38*$E$7</f>
        <v>182722.652656886</v>
      </c>
      <c r="S38" s="40" t="n">
        <f aca="false">ROUND($R38/01_ASUMSI!$B$23,0)*01_ASUMSI!$B$23</f>
        <v>182500</v>
      </c>
      <c r="T38" s="40" t="n">
        <f aca="false">$S38+01_ASUMSI!$B$22</f>
        <v>244500</v>
      </c>
      <c r="U38" s="40" t="n">
        <f aca="false">$S38*$C38</f>
        <v>43800000</v>
      </c>
      <c r="V38" s="40" t="n">
        <f aca="false">01_ASUMSI!$B$22*$C38</f>
        <v>14880000</v>
      </c>
      <c r="W38" s="40" t="n">
        <f aca="false">$U38+$V38</f>
        <v>58680000</v>
      </c>
      <c r="X38" s="40" t="n">
        <f aca="false">$W38*01_ASUMSI!$B$62</f>
        <v>6454800</v>
      </c>
      <c r="Y38" s="40" t="n">
        <f aca="false">$W38+$X38</f>
        <v>65134800</v>
      </c>
      <c r="Z38" s="40" t="n">
        <f aca="false">$W38*01_ASUMSI!$B$61</f>
        <v>5868000</v>
      </c>
      <c r="AA38" s="40" t="n">
        <f aca="false">$W38-$Z38</f>
        <v>52812000</v>
      </c>
      <c r="AB38" s="34" t="str">
        <f aca="false">02_MASTER_UNIT!I34</f>
        <v>Kosong</v>
      </c>
    </row>
    <row r="39" customFormat="false" ht="15" hidden="false" customHeight="false" outlineLevel="0" collapsed="false">
      <c r="A39" s="34" t="str">
        <f aca="false">02_MASTER_UNIT!B35</f>
        <v>MNS-01-12D</v>
      </c>
      <c r="B39" s="35" t="n">
        <f aca="false">02_MASTER_UNIT!C35</f>
        <v>12</v>
      </c>
      <c r="C39" s="36" t="n">
        <f aca="false">02_MASTER_UNIT!D35</f>
        <v>325</v>
      </c>
      <c r="D39" s="37" t="str">
        <f aca="false">INDEX(03_FAKTOR!$A$6:$A$10,MATCH($B39,03_FAKTOR!$B$6:$B$10,1))</f>
        <v>Bawah</v>
      </c>
      <c r="E39" s="38" t="n">
        <f aca="false">1+INDEX(03_FAKTOR!$D$6:$D$10,MATCH($B39,03_FAKTOR!$B$6:$B$10,1))+INDEX(03_FAKTOR!$E$6:$E$10,MATCH($B39,03_FAKTOR!$B$6:$B$10,1))*($B39-INDEX(03_FAKTOR!$B$6:$B$10,MATCH($B39,03_FAKTOR!$B$6:$B$10,1)))</f>
        <v>1.021</v>
      </c>
      <c r="F39" s="38" t="n">
        <f aca="false">1+01_ASUMSI!$B$36*LN(($B39+01_ASUMSI!$B$38)/(01_ASUMSI!$B$37+01_ASUMSI!$B$38))</f>
        <v>1.01650326122748</v>
      </c>
      <c r="G39" s="38" t="n">
        <f aca="false">IF(01_ASUMSI!$B$35="ZONA",$E39,$F39)</f>
        <v>1.021</v>
      </c>
      <c r="H39" s="39" t="n">
        <f aca="false">IFERROR(INDEX(03_FAKTOR!$B$14:$B$17,MATCH(02_MASTER_UNIT!E35,03_FAKTOR!$A$14:$A$17,0)),0)</f>
        <v>0</v>
      </c>
      <c r="I39" s="38" t="n">
        <f aca="false">1+$H39-IF($H39&gt;0,MAX(0,$G39-1)*01_ASUMSI!$B$39,0)</f>
        <v>1</v>
      </c>
      <c r="J39" s="38" t="n">
        <f aca="false">1+IFERROR(INDEX(03_FAKTOR!$B$21:$B$25,MATCH(02_MASTER_UNIT!F35,03_FAKTOR!$A$21:$A$25,0)),0)</f>
        <v>0.985</v>
      </c>
      <c r="K39" s="38" t="n">
        <f aca="false">MIN(01_ASUMSI!$B$45,MAX(01_ASUMSI!$B$44,IFERROR((01_ASUMSI!$B$42/$C39)^01_ASUMSI!$B$43,1)))</f>
        <v>0.989560305293113</v>
      </c>
      <c r="L39" s="38" t="n">
        <f aca="false">1+IFERROR(INDEX(03_FAKTOR!$B$29:$B$32,MATCH(02_MASTER_UNIT!G35,03_FAKTOR!$A$29:$A$32,0)),0)</f>
        <v>1.065</v>
      </c>
      <c r="M39" s="38" t="n">
        <f aca="false">1+IFERROR(INDEX(03_FAKTOR!$B$36:$B$39,MATCH(02_MASTER_UNIT!H35,03_FAKTOR!$A$36:$A$39,0)),0)</f>
        <v>1.02</v>
      </c>
      <c r="N39" s="38" t="n">
        <f aca="false">$G39*$I39*$J39*$K39*$L39*$M39</f>
        <v>1.08107050359946</v>
      </c>
      <c r="O39" s="38" t="n">
        <f aca="false">MIN(01_ASUMSI!$B$32,MAX(01_ASUMSI!$B$31,$N39))</f>
        <v>1.08107050359946</v>
      </c>
      <c r="Q39" s="40" t="n">
        <f aca="false">$E$6*$O39</f>
        <v>200555.5745282</v>
      </c>
      <c r="R39" s="40" t="n">
        <f aca="false">$Q39*$E$7</f>
        <v>184214.636056904</v>
      </c>
      <c r="S39" s="40" t="n">
        <f aca="false">ROUND($R39/01_ASUMSI!$B$23,0)*01_ASUMSI!$B$23</f>
        <v>184000</v>
      </c>
      <c r="T39" s="40" t="n">
        <f aca="false">$S39+01_ASUMSI!$B$22</f>
        <v>246000</v>
      </c>
      <c r="U39" s="40" t="n">
        <f aca="false">$S39*$C39</f>
        <v>59800000</v>
      </c>
      <c r="V39" s="40" t="n">
        <f aca="false">01_ASUMSI!$B$22*$C39</f>
        <v>20150000</v>
      </c>
      <c r="W39" s="40" t="n">
        <f aca="false">$U39+$V39</f>
        <v>79950000</v>
      </c>
      <c r="X39" s="40" t="n">
        <f aca="false">$W39*01_ASUMSI!$B$62</f>
        <v>8794500</v>
      </c>
      <c r="Y39" s="40" t="n">
        <f aca="false">$W39+$X39</f>
        <v>88744500</v>
      </c>
      <c r="Z39" s="40" t="n">
        <f aca="false">$W39*01_ASUMSI!$B$61</f>
        <v>7995000</v>
      </c>
      <c r="AA39" s="40" t="n">
        <f aca="false">$W39-$Z39</f>
        <v>71955000</v>
      </c>
      <c r="AB39" s="34" t="str">
        <f aca="false">02_MASTER_UNIT!I35</f>
        <v>Terisi</v>
      </c>
    </row>
    <row r="40" customFormat="false" ht="15" hidden="false" customHeight="false" outlineLevel="0" collapsed="false">
      <c r="A40" s="34" t="str">
        <f aca="false">02_MASTER_UNIT!B36</f>
        <v>MNS-01-13A</v>
      </c>
      <c r="B40" s="35" t="n">
        <f aca="false">02_MASTER_UNIT!C36</f>
        <v>13</v>
      </c>
      <c r="C40" s="36" t="n">
        <f aca="false">02_MASTER_UNIT!D36</f>
        <v>595</v>
      </c>
      <c r="D40" s="37" t="str">
        <f aca="false">INDEX(03_FAKTOR!$A$6:$A$10,MATCH($B40,03_FAKTOR!$B$6:$B$10,1))</f>
        <v>Tengah</v>
      </c>
      <c r="E40" s="38" t="n">
        <f aca="false">1+INDEX(03_FAKTOR!$D$6:$D$10,MATCH($B40,03_FAKTOR!$B$6:$B$10,1))+INDEX(03_FAKTOR!$E$6:$E$10,MATCH($B40,03_FAKTOR!$B$6:$B$10,1))*($B40-INDEX(03_FAKTOR!$B$6:$B$10,MATCH($B40,03_FAKTOR!$B$6:$B$10,1)))</f>
        <v>1.045</v>
      </c>
      <c r="F40" s="38" t="n">
        <f aca="false">1+01_ASUMSI!$B$36*LN(($B40+01_ASUMSI!$B$38)/(01_ASUMSI!$B$37+01_ASUMSI!$B$38))</f>
        <v>1.02136172640388</v>
      </c>
      <c r="G40" s="38" t="n">
        <f aca="false">IF(01_ASUMSI!$B$35="ZONA",$E40,$F40)</f>
        <v>1.045</v>
      </c>
      <c r="H40" s="39" t="n">
        <f aca="false">IFERROR(INDEX(03_FAKTOR!$B$14:$B$17,MATCH(02_MASTER_UNIT!E36,03_FAKTOR!$A$14:$A$17,0)),0)</f>
        <v>0</v>
      </c>
      <c r="I40" s="38" t="n">
        <f aca="false">1+$H40-IF($H40&gt;0,MAX(0,$G40-1)*01_ASUMSI!$B$39,0)</f>
        <v>1</v>
      </c>
      <c r="J40" s="38" t="n">
        <f aca="false">1+IFERROR(INDEX(03_FAKTOR!$B$21:$B$25,MATCH(02_MASTER_UNIT!F36,03_FAKTOR!$A$21:$A$25,0)),0)</f>
        <v>1.03</v>
      </c>
      <c r="K40" s="38" t="n">
        <f aca="false">MIN(01_ASUMSI!$B$45,MAX(01_ASUMSI!$B$44,IFERROR((01_ASUMSI!$B$42/$C40)^01_ASUMSI!$B$43,1)))</f>
        <v>0.965910576942588</v>
      </c>
      <c r="L40" s="38" t="n">
        <f aca="false">1+IFERROR(INDEX(03_FAKTOR!$B$29:$B$32,MATCH(02_MASTER_UNIT!G36,03_FAKTOR!$A$29:$A$32,0)),0)</f>
        <v>1.12</v>
      </c>
      <c r="M40" s="38" t="n">
        <f aca="false">1+IFERROR(INDEX(03_FAKTOR!$B$36:$B$39,MATCH(02_MASTER_UNIT!H36,03_FAKTOR!$A$36:$A$39,0)),0)</f>
        <v>1</v>
      </c>
      <c r="N40" s="38" t="n">
        <f aca="false">$G40*$I40*$J40*$K40*$L40*$M40</f>
        <v>1.16441679143121</v>
      </c>
      <c r="O40" s="38" t="n">
        <f aca="false">MIN(01_ASUMSI!$B$32,MAX(01_ASUMSI!$B$31,$N40))</f>
        <v>1.16441679143121</v>
      </c>
      <c r="Q40" s="40" t="n">
        <f aca="false">$E$6*$O40</f>
        <v>216017.621254324</v>
      </c>
      <c r="R40" s="40" t="n">
        <f aca="false">$Q40*$E$7</f>
        <v>198416.860637539</v>
      </c>
      <c r="S40" s="40" t="n">
        <f aca="false">ROUND($R40/01_ASUMSI!$B$23,0)*01_ASUMSI!$B$23</f>
        <v>198500</v>
      </c>
      <c r="T40" s="40" t="n">
        <f aca="false">$S40+01_ASUMSI!$B$22</f>
        <v>260500</v>
      </c>
      <c r="U40" s="40" t="n">
        <f aca="false">$S40*$C40</f>
        <v>118107500</v>
      </c>
      <c r="V40" s="40" t="n">
        <f aca="false">01_ASUMSI!$B$22*$C40</f>
        <v>36890000</v>
      </c>
      <c r="W40" s="40" t="n">
        <f aca="false">$U40+$V40</f>
        <v>154997500</v>
      </c>
      <c r="X40" s="40" t="n">
        <f aca="false">$W40*01_ASUMSI!$B$62</f>
        <v>17049725</v>
      </c>
      <c r="Y40" s="40" t="n">
        <f aca="false">$W40+$X40</f>
        <v>172047225</v>
      </c>
      <c r="Z40" s="40" t="n">
        <f aca="false">$W40*01_ASUMSI!$B$61</f>
        <v>15499750</v>
      </c>
      <c r="AA40" s="40" t="n">
        <f aca="false">$W40-$Z40</f>
        <v>139497750</v>
      </c>
      <c r="AB40" s="34" t="str">
        <f aca="false">02_MASTER_UNIT!I36</f>
        <v>Kosong</v>
      </c>
    </row>
    <row r="41" customFormat="false" ht="15" hidden="false" customHeight="false" outlineLevel="0" collapsed="false">
      <c r="A41" s="34" t="str">
        <f aca="false">02_MASTER_UNIT!B37</f>
        <v>MNS-01-13B</v>
      </c>
      <c r="B41" s="35" t="n">
        <f aca="false">02_MASTER_UNIT!C37</f>
        <v>13</v>
      </c>
      <c r="C41" s="36" t="n">
        <f aca="false">02_MASTER_UNIT!D37</f>
        <v>605</v>
      </c>
      <c r="D41" s="37" t="str">
        <f aca="false">INDEX(03_FAKTOR!$A$6:$A$10,MATCH($B41,03_FAKTOR!$B$6:$B$10,1))</f>
        <v>Tengah</v>
      </c>
      <c r="E41" s="38" t="n">
        <f aca="false">1+INDEX(03_FAKTOR!$D$6:$D$10,MATCH($B41,03_FAKTOR!$B$6:$B$10,1))+INDEX(03_FAKTOR!$E$6:$E$10,MATCH($B41,03_FAKTOR!$B$6:$B$10,1))*($B41-INDEX(03_FAKTOR!$B$6:$B$10,MATCH($B41,03_FAKTOR!$B$6:$B$10,1)))</f>
        <v>1.045</v>
      </c>
      <c r="F41" s="38" t="n">
        <f aca="false">1+01_ASUMSI!$B$36*LN(($B41+01_ASUMSI!$B$38)/(01_ASUMSI!$B$37+01_ASUMSI!$B$38))</f>
        <v>1.02136172640388</v>
      </c>
      <c r="G41" s="38" t="n">
        <f aca="false">IF(01_ASUMSI!$B$35="ZONA",$E41,$F41)</f>
        <v>1.045</v>
      </c>
      <c r="H41" s="39" t="n">
        <f aca="false">IFERROR(INDEX(03_FAKTOR!$B$14:$B$17,MATCH(02_MASTER_UNIT!E37,03_FAKTOR!$A$14:$A$17,0)),0)</f>
        <v>0.03</v>
      </c>
      <c r="I41" s="38" t="n">
        <f aca="false">1+$H41-IF($H41&gt;0,MAX(0,$G41-1)*01_ASUMSI!$B$39,0)</f>
        <v>1.01785</v>
      </c>
      <c r="J41" s="38" t="n">
        <f aca="false">1+IFERROR(INDEX(03_FAKTOR!$B$21:$B$25,MATCH(02_MASTER_UNIT!F37,03_FAKTOR!$A$21:$A$25,0)),0)</f>
        <v>0.985</v>
      </c>
      <c r="K41" s="38" t="n">
        <f aca="false">MIN(01_ASUMSI!$B$45,MAX(01_ASUMSI!$B$44,IFERROR((01_ASUMSI!$B$42/$C41)^01_ASUMSI!$B$43,1)))</f>
        <v>0.965266836260349</v>
      </c>
      <c r="L41" s="38" t="n">
        <f aca="false">1+IFERROR(INDEX(03_FAKTOR!$B$29:$B$32,MATCH(02_MASTER_UNIT!G37,03_FAKTOR!$A$29:$A$32,0)),0)</f>
        <v>1.065</v>
      </c>
      <c r="M41" s="38" t="n">
        <f aca="false">1+IFERROR(INDEX(03_FAKTOR!$B$36:$B$39,MATCH(02_MASTER_UNIT!H37,03_FAKTOR!$A$36:$A$39,0)),0)</f>
        <v>1</v>
      </c>
      <c r="N41" s="38" t="n">
        <f aca="false">$G41*$I41*$J41*$K41*$L41*$M41</f>
        <v>1.0770436264035</v>
      </c>
      <c r="O41" s="38" t="n">
        <f aca="false">MIN(01_ASUMSI!$B$32,MAX(01_ASUMSI!$B$31,$N41))</f>
        <v>1.0770436264035</v>
      </c>
      <c r="Q41" s="40" t="n">
        <f aca="false">$E$6*$O41</f>
        <v>199808.525499573</v>
      </c>
      <c r="R41" s="40" t="n">
        <f aca="false">$Q41*$E$7</f>
        <v>183528.455354877</v>
      </c>
      <c r="S41" s="40" t="n">
        <f aca="false">ROUND($R41/01_ASUMSI!$B$23,0)*01_ASUMSI!$B$23</f>
        <v>183500</v>
      </c>
      <c r="T41" s="40" t="n">
        <f aca="false">$S41+01_ASUMSI!$B$22</f>
        <v>245500</v>
      </c>
      <c r="U41" s="40" t="n">
        <f aca="false">$S41*$C41</f>
        <v>111017500</v>
      </c>
      <c r="V41" s="40" t="n">
        <f aca="false">01_ASUMSI!$B$22*$C41</f>
        <v>37510000</v>
      </c>
      <c r="W41" s="40" t="n">
        <f aca="false">$U41+$V41</f>
        <v>148527500</v>
      </c>
      <c r="X41" s="40" t="n">
        <f aca="false">$W41*01_ASUMSI!$B$62</f>
        <v>16338025</v>
      </c>
      <c r="Y41" s="40" t="n">
        <f aca="false">$W41+$X41</f>
        <v>164865525</v>
      </c>
      <c r="Z41" s="40" t="n">
        <f aca="false">$W41*01_ASUMSI!$B$61</f>
        <v>14852750</v>
      </c>
      <c r="AA41" s="40" t="n">
        <f aca="false">$W41-$Z41</f>
        <v>133674750</v>
      </c>
      <c r="AB41" s="34" t="str">
        <f aca="false">02_MASTER_UNIT!I37</f>
        <v>Terisi</v>
      </c>
    </row>
    <row r="42" customFormat="false" ht="15" hidden="false" customHeight="false" outlineLevel="0" collapsed="false">
      <c r="A42" s="34" t="str">
        <f aca="false">02_MASTER_UNIT!B38</f>
        <v>MNS-01-14A</v>
      </c>
      <c r="B42" s="35" t="n">
        <f aca="false">02_MASTER_UNIT!C38</f>
        <v>14</v>
      </c>
      <c r="C42" s="36" t="n">
        <f aca="false">02_MASTER_UNIT!D38</f>
        <v>575</v>
      </c>
      <c r="D42" s="37" t="str">
        <f aca="false">INDEX(03_FAKTOR!$A$6:$A$10,MATCH($B42,03_FAKTOR!$B$6:$B$10,1))</f>
        <v>Tengah</v>
      </c>
      <c r="E42" s="38" t="n">
        <f aca="false">1+INDEX(03_FAKTOR!$D$6:$D$10,MATCH($B42,03_FAKTOR!$B$6:$B$10,1))+INDEX(03_FAKTOR!$E$6:$E$10,MATCH($B42,03_FAKTOR!$B$6:$B$10,1))*($B42-INDEX(03_FAKTOR!$B$6:$B$10,MATCH($B42,03_FAKTOR!$B$6:$B$10,1)))</f>
        <v>1.048</v>
      </c>
      <c r="F42" s="38" t="n">
        <f aca="false">1+01_ASUMSI!$B$36*LN(($B42+01_ASUMSI!$B$38)/(01_ASUMSI!$B$37+01_ASUMSI!$B$38))</f>
        <v>1.02595744021185</v>
      </c>
      <c r="G42" s="38" t="n">
        <f aca="false">IF(01_ASUMSI!$B$35="ZONA",$E42,$F42)</f>
        <v>1.048</v>
      </c>
      <c r="H42" s="39" t="n">
        <f aca="false">IFERROR(INDEX(03_FAKTOR!$B$14:$B$17,MATCH(02_MASTER_UNIT!E38,03_FAKTOR!$A$14:$A$17,0)),0)</f>
        <v>0</v>
      </c>
      <c r="I42" s="38" t="n">
        <f aca="false">1+$H42-IF($H42&gt;0,MAX(0,$G42-1)*01_ASUMSI!$B$39,0)</f>
        <v>1</v>
      </c>
      <c r="J42" s="38" t="n">
        <f aca="false">1+IFERROR(INDEX(03_FAKTOR!$B$21:$B$25,MATCH(02_MASTER_UNIT!F38,03_FAKTOR!$A$21:$A$25,0)),0)</f>
        <v>1.01</v>
      </c>
      <c r="K42" s="38" t="n">
        <f aca="false">MIN(01_ASUMSI!$B$45,MAX(01_ASUMSI!$B$44,IFERROR((01_ASUMSI!$B$42/$C42)^01_ASUMSI!$B$43,1)))</f>
        <v>0.967232512746337</v>
      </c>
      <c r="L42" s="38" t="n">
        <f aca="false">1+IFERROR(INDEX(03_FAKTOR!$B$29:$B$32,MATCH(02_MASTER_UNIT!G38,03_FAKTOR!$A$29:$A$32,0)),0)</f>
        <v>1</v>
      </c>
      <c r="M42" s="38" t="n">
        <f aca="false">1+IFERROR(INDEX(03_FAKTOR!$B$36:$B$39,MATCH(02_MASTER_UNIT!H38,03_FAKTOR!$A$36:$A$39,0)),0)</f>
        <v>1</v>
      </c>
      <c r="N42" s="38" t="n">
        <f aca="false">$G42*$I42*$J42*$K42*$L42*$M42</f>
        <v>1.02379627009174</v>
      </c>
      <c r="O42" s="38" t="n">
        <f aca="false">MIN(01_ASUMSI!$B$32,MAX(01_ASUMSI!$B$31,$N42))</f>
        <v>1.02379627009174</v>
      </c>
      <c r="Q42" s="40" t="n">
        <f aca="false">$E$6*$O42</f>
        <v>189930.303772447</v>
      </c>
      <c r="R42" s="40" t="n">
        <f aca="false">$Q42*$E$7</f>
        <v>174455.094892906</v>
      </c>
      <c r="S42" s="40" t="n">
        <f aca="false">ROUND($R42/01_ASUMSI!$B$23,0)*01_ASUMSI!$B$23</f>
        <v>174500</v>
      </c>
      <c r="T42" s="40" t="n">
        <f aca="false">$S42+01_ASUMSI!$B$22</f>
        <v>236500</v>
      </c>
      <c r="U42" s="40" t="n">
        <f aca="false">$S42*$C42</f>
        <v>100337500</v>
      </c>
      <c r="V42" s="40" t="n">
        <f aca="false">01_ASUMSI!$B$22*$C42</f>
        <v>35650000</v>
      </c>
      <c r="W42" s="40" t="n">
        <f aca="false">$U42+$V42</f>
        <v>135987500</v>
      </c>
      <c r="X42" s="40" t="n">
        <f aca="false">$W42*01_ASUMSI!$B$62</f>
        <v>14958625</v>
      </c>
      <c r="Y42" s="40" t="n">
        <f aca="false">$W42+$X42</f>
        <v>150946125</v>
      </c>
      <c r="Z42" s="40" t="n">
        <f aca="false">$W42*01_ASUMSI!$B$61</f>
        <v>13598750</v>
      </c>
      <c r="AA42" s="40" t="n">
        <f aca="false">$W42-$Z42</f>
        <v>122388750</v>
      </c>
      <c r="AB42" s="34" t="str">
        <f aca="false">02_MASTER_UNIT!I38</f>
        <v>Terisi</v>
      </c>
    </row>
    <row r="43" customFormat="false" ht="15" hidden="false" customHeight="false" outlineLevel="0" collapsed="false">
      <c r="A43" s="34" t="str">
        <f aca="false">02_MASTER_UNIT!B39</f>
        <v>MNS-01-14B</v>
      </c>
      <c r="B43" s="35" t="n">
        <f aca="false">02_MASTER_UNIT!C39</f>
        <v>14</v>
      </c>
      <c r="C43" s="36" t="n">
        <f aca="false">02_MASTER_UNIT!D39</f>
        <v>625</v>
      </c>
      <c r="D43" s="37" t="str">
        <f aca="false">INDEX(03_FAKTOR!$A$6:$A$10,MATCH($B43,03_FAKTOR!$B$6:$B$10,1))</f>
        <v>Tengah</v>
      </c>
      <c r="E43" s="38" t="n">
        <f aca="false">1+INDEX(03_FAKTOR!$D$6:$D$10,MATCH($B43,03_FAKTOR!$B$6:$B$10,1))+INDEX(03_FAKTOR!$E$6:$E$10,MATCH($B43,03_FAKTOR!$B$6:$B$10,1))*($B43-INDEX(03_FAKTOR!$B$6:$B$10,MATCH($B43,03_FAKTOR!$B$6:$B$10,1)))</f>
        <v>1.048</v>
      </c>
      <c r="F43" s="38" t="n">
        <f aca="false">1+01_ASUMSI!$B$36*LN(($B43+01_ASUMSI!$B$38)/(01_ASUMSI!$B$37+01_ASUMSI!$B$38))</f>
        <v>1.02595744021185</v>
      </c>
      <c r="G43" s="38" t="n">
        <f aca="false">IF(01_ASUMSI!$B$35="ZONA",$E43,$F43)</f>
        <v>1.048</v>
      </c>
      <c r="H43" s="39" t="n">
        <f aca="false">IFERROR(INDEX(03_FAKTOR!$B$14:$B$17,MATCH(02_MASTER_UNIT!E39,03_FAKTOR!$A$14:$A$17,0)),0)</f>
        <v>0.03</v>
      </c>
      <c r="I43" s="38" t="n">
        <f aca="false">1+$H43-IF($H43&gt;0,MAX(0,$G43-1)*01_ASUMSI!$B$39,0)</f>
        <v>1.01704</v>
      </c>
      <c r="J43" s="38" t="n">
        <f aca="false">1+IFERROR(INDEX(03_FAKTOR!$B$21:$B$25,MATCH(02_MASTER_UNIT!F39,03_FAKTOR!$A$21:$A$25,0)),0)</f>
        <v>0.985</v>
      </c>
      <c r="K43" s="38" t="n">
        <f aca="false">MIN(01_ASUMSI!$B$45,MAX(01_ASUMSI!$B$44,IFERROR((01_ASUMSI!$B$42/$C43)^01_ASUMSI!$B$43,1)))</f>
        <v>0.964011910386724</v>
      </c>
      <c r="L43" s="38" t="n">
        <f aca="false">1+IFERROR(INDEX(03_FAKTOR!$B$29:$B$32,MATCH(02_MASTER_UNIT!G39,03_FAKTOR!$A$29:$A$32,0)),0)</f>
        <v>1.035</v>
      </c>
      <c r="M43" s="38" t="n">
        <f aca="false">1+IFERROR(INDEX(03_FAKTOR!$B$36:$B$39,MATCH(02_MASTER_UNIT!H39,03_FAKTOR!$A$36:$A$39,0)),0)</f>
        <v>1</v>
      </c>
      <c r="N43" s="38" t="n">
        <f aca="false">$G43*$I43*$J43*$K43*$L43*$M43</f>
        <v>1.04751028689515</v>
      </c>
      <c r="O43" s="38" t="n">
        <f aca="false">MIN(01_ASUMSI!$B$32,MAX(01_ASUMSI!$B$31,$N43))</f>
        <v>1.04751028689515</v>
      </c>
      <c r="Q43" s="40" t="n">
        <f aca="false">$E$6*$O43</f>
        <v>194329.626710722</v>
      </c>
      <c r="R43" s="40" t="n">
        <f aca="false">$Q43*$E$7</f>
        <v>178495.96823127</v>
      </c>
      <c r="S43" s="40" t="n">
        <f aca="false">ROUND($R43/01_ASUMSI!$B$23,0)*01_ASUMSI!$B$23</f>
        <v>178500</v>
      </c>
      <c r="T43" s="40" t="n">
        <f aca="false">$S43+01_ASUMSI!$B$22</f>
        <v>240500</v>
      </c>
      <c r="U43" s="40" t="n">
        <f aca="false">$S43*$C43</f>
        <v>111562500</v>
      </c>
      <c r="V43" s="40" t="n">
        <f aca="false">01_ASUMSI!$B$22*$C43</f>
        <v>38750000</v>
      </c>
      <c r="W43" s="40" t="n">
        <f aca="false">$U43+$V43</f>
        <v>150312500</v>
      </c>
      <c r="X43" s="40" t="n">
        <f aca="false">$W43*01_ASUMSI!$B$62</f>
        <v>16534375</v>
      </c>
      <c r="Y43" s="40" t="n">
        <f aca="false">$W43+$X43</f>
        <v>166846875</v>
      </c>
      <c r="Z43" s="40" t="n">
        <f aca="false">$W43*01_ASUMSI!$B$61</f>
        <v>15031250</v>
      </c>
      <c r="AA43" s="40" t="n">
        <f aca="false">$W43-$Z43</f>
        <v>135281250</v>
      </c>
      <c r="AB43" s="34" t="str">
        <f aca="false">02_MASTER_UNIT!I39</f>
        <v>Kosong</v>
      </c>
    </row>
    <row r="44" customFormat="false" ht="15" hidden="false" customHeight="false" outlineLevel="0" collapsed="false">
      <c r="A44" s="34" t="str">
        <f aca="false">02_MASTER_UNIT!B40</f>
        <v>MNS-01-15A</v>
      </c>
      <c r="B44" s="35" t="n">
        <f aca="false">02_MASTER_UNIT!C40</f>
        <v>15</v>
      </c>
      <c r="C44" s="36" t="n">
        <f aca="false">02_MASTER_UNIT!D40</f>
        <v>630</v>
      </c>
      <c r="D44" s="37" t="str">
        <f aca="false">INDEX(03_FAKTOR!$A$6:$A$10,MATCH($B44,03_FAKTOR!$B$6:$B$10,1))</f>
        <v>Tengah</v>
      </c>
      <c r="E44" s="38" t="n">
        <f aca="false">1+INDEX(03_FAKTOR!$D$6:$D$10,MATCH($B44,03_FAKTOR!$B$6:$B$10,1))+INDEX(03_FAKTOR!$E$6:$E$10,MATCH($B44,03_FAKTOR!$B$6:$B$10,1))*($B44-INDEX(03_FAKTOR!$B$6:$B$10,MATCH($B44,03_FAKTOR!$B$6:$B$10,1)))</f>
        <v>1.051</v>
      </c>
      <c r="F44" s="38" t="n">
        <f aca="false">1+01_ASUMSI!$B$36*LN(($B44+01_ASUMSI!$B$38)/(01_ASUMSI!$B$37+01_ASUMSI!$B$38))</f>
        <v>1.03031737023479</v>
      </c>
      <c r="G44" s="38" t="n">
        <f aca="false">IF(01_ASUMSI!$B$35="ZONA",$E44,$F44)</f>
        <v>1.051</v>
      </c>
      <c r="H44" s="39" t="n">
        <f aca="false">IFERROR(INDEX(03_FAKTOR!$B$14:$B$17,MATCH(02_MASTER_UNIT!E40,03_FAKTOR!$A$14:$A$17,0)),0)</f>
        <v>0</v>
      </c>
      <c r="I44" s="38" t="n">
        <f aca="false">1+$H44-IF($H44&gt;0,MAX(0,$G44-1)*01_ASUMSI!$B$39,0)</f>
        <v>1</v>
      </c>
      <c r="J44" s="38" t="n">
        <f aca="false">1+IFERROR(INDEX(03_FAKTOR!$B$21:$B$25,MATCH(02_MASTER_UNIT!F40,03_FAKTOR!$A$21:$A$25,0)),0)</f>
        <v>1.03</v>
      </c>
      <c r="K44" s="38" t="n">
        <f aca="false">MIN(01_ASUMSI!$B$45,MAX(01_ASUMSI!$B$44,IFERROR((01_ASUMSI!$B$42/$C44)^01_ASUMSI!$B$43,1)))</f>
        <v>0.963704702929116</v>
      </c>
      <c r="L44" s="38" t="n">
        <f aca="false">1+IFERROR(INDEX(03_FAKTOR!$B$29:$B$32,MATCH(02_MASTER_UNIT!G40,03_FAKTOR!$A$29:$A$32,0)),0)</f>
        <v>1</v>
      </c>
      <c r="M44" s="38" t="n">
        <f aca="false">1+IFERROR(INDEX(03_FAKTOR!$B$36:$B$39,MATCH(02_MASTER_UNIT!H40,03_FAKTOR!$A$36:$A$39,0)),0)</f>
        <v>1</v>
      </c>
      <c r="N44" s="38" t="n">
        <f aca="false">$G44*$I44*$J44*$K44*$L44*$M44</f>
        <v>1.04323925206186</v>
      </c>
      <c r="O44" s="38" t="n">
        <f aca="false">MIN(01_ASUMSI!$B$32,MAX(01_ASUMSI!$B$31,$N44))</f>
        <v>1.04323925206186</v>
      </c>
      <c r="Q44" s="40" t="n">
        <f aca="false">$E$6*$O44</f>
        <v>193537.282601833</v>
      </c>
      <c r="R44" s="40" t="n">
        <f aca="false">$Q44*$E$7</f>
        <v>177768.183017649</v>
      </c>
      <c r="S44" s="40" t="n">
        <f aca="false">ROUND($R44/01_ASUMSI!$B$23,0)*01_ASUMSI!$B$23</f>
        <v>178000</v>
      </c>
      <c r="T44" s="40" t="n">
        <f aca="false">$S44+01_ASUMSI!$B$22</f>
        <v>240000</v>
      </c>
      <c r="U44" s="40" t="n">
        <f aca="false">$S44*$C44</f>
        <v>112140000</v>
      </c>
      <c r="V44" s="40" t="n">
        <f aca="false">01_ASUMSI!$B$22*$C44</f>
        <v>39060000</v>
      </c>
      <c r="W44" s="40" t="n">
        <f aca="false">$U44+$V44</f>
        <v>151200000</v>
      </c>
      <c r="X44" s="40" t="n">
        <f aca="false">$W44*01_ASUMSI!$B$62</f>
        <v>16632000</v>
      </c>
      <c r="Y44" s="40" t="n">
        <f aca="false">$W44+$X44</f>
        <v>167832000</v>
      </c>
      <c r="Z44" s="40" t="n">
        <f aca="false">$W44*01_ASUMSI!$B$61</f>
        <v>15120000</v>
      </c>
      <c r="AA44" s="40" t="n">
        <f aca="false">$W44-$Z44</f>
        <v>136080000</v>
      </c>
      <c r="AB44" s="34" t="str">
        <f aca="false">02_MASTER_UNIT!I40</f>
        <v>Terisi</v>
      </c>
    </row>
    <row r="45" customFormat="false" ht="15" hidden="false" customHeight="false" outlineLevel="0" collapsed="false">
      <c r="A45" s="34" t="str">
        <f aca="false">02_MASTER_UNIT!B41</f>
        <v>MNS-01-15B</v>
      </c>
      <c r="B45" s="35" t="n">
        <f aca="false">02_MASTER_UNIT!C41</f>
        <v>15</v>
      </c>
      <c r="C45" s="36" t="n">
        <f aca="false">02_MASTER_UNIT!D41</f>
        <v>570</v>
      </c>
      <c r="D45" s="37" t="str">
        <f aca="false">INDEX(03_FAKTOR!$A$6:$A$10,MATCH($B45,03_FAKTOR!$B$6:$B$10,1))</f>
        <v>Tengah</v>
      </c>
      <c r="E45" s="38" t="n">
        <f aca="false">1+INDEX(03_FAKTOR!$D$6:$D$10,MATCH($B45,03_FAKTOR!$B$6:$B$10,1))+INDEX(03_FAKTOR!$E$6:$E$10,MATCH($B45,03_FAKTOR!$B$6:$B$10,1))*($B45-INDEX(03_FAKTOR!$B$6:$B$10,MATCH($B45,03_FAKTOR!$B$6:$B$10,1)))</f>
        <v>1.051</v>
      </c>
      <c r="F45" s="38" t="n">
        <f aca="false">1+01_ASUMSI!$B$36*LN(($B45+01_ASUMSI!$B$38)/(01_ASUMSI!$B$37+01_ASUMSI!$B$38))</f>
        <v>1.03031737023479</v>
      </c>
      <c r="G45" s="38" t="n">
        <f aca="false">IF(01_ASUMSI!$B$35="ZONA",$E45,$F45)</f>
        <v>1.051</v>
      </c>
      <c r="H45" s="39" t="n">
        <f aca="false">IFERROR(INDEX(03_FAKTOR!$B$14:$B$17,MATCH(02_MASTER_UNIT!E41,03_FAKTOR!$A$14:$A$17,0)),0)</f>
        <v>0.03</v>
      </c>
      <c r="I45" s="38" t="n">
        <f aca="false">1+$H45-IF($H45&gt;0,MAX(0,$G45-1)*01_ASUMSI!$B$39,0)</f>
        <v>1.01623</v>
      </c>
      <c r="J45" s="38" t="n">
        <f aca="false">1+IFERROR(INDEX(03_FAKTOR!$B$21:$B$25,MATCH(02_MASTER_UNIT!F41,03_FAKTOR!$A$21:$A$25,0)),0)</f>
        <v>1.03</v>
      </c>
      <c r="K45" s="38" t="n">
        <f aca="false">MIN(01_ASUMSI!$B$45,MAX(01_ASUMSI!$B$44,IFERROR((01_ASUMSI!$B$42/$C45)^01_ASUMSI!$B$43,1)))</f>
        <v>0.967570471744283</v>
      </c>
      <c r="L45" s="38" t="n">
        <f aca="false">1+IFERROR(INDEX(03_FAKTOR!$B$29:$B$32,MATCH(02_MASTER_UNIT!G41,03_FAKTOR!$A$29:$A$32,0)),0)</f>
        <v>1.035</v>
      </c>
      <c r="M45" s="38" t="n">
        <f aca="false">1+IFERROR(INDEX(03_FAKTOR!$B$36:$B$39,MATCH(02_MASTER_UNIT!H41,03_FAKTOR!$A$36:$A$39,0)),0)</f>
        <v>1.02</v>
      </c>
      <c r="N45" s="38" t="n">
        <f aca="false">$G45*$I45*$J45*$K45*$L45*$M45</f>
        <v>1.12371215848733</v>
      </c>
      <c r="O45" s="38" t="n">
        <f aca="false">MIN(01_ASUMSI!$B$32,MAX(01_ASUMSI!$B$31,$N45))</f>
        <v>1.12371215848733</v>
      </c>
      <c r="Q45" s="40" t="n">
        <f aca="false">$E$6*$O45</f>
        <v>208466.271903066</v>
      </c>
      <c r="R45" s="40" t="n">
        <f aca="false">$Q45*$E$7</f>
        <v>191480.782815953</v>
      </c>
      <c r="S45" s="40" t="n">
        <f aca="false">ROUND($R45/01_ASUMSI!$B$23,0)*01_ASUMSI!$B$23</f>
        <v>191500</v>
      </c>
      <c r="T45" s="40" t="n">
        <f aca="false">$S45+01_ASUMSI!$B$22</f>
        <v>253500</v>
      </c>
      <c r="U45" s="40" t="n">
        <f aca="false">$S45*$C45</f>
        <v>109155000</v>
      </c>
      <c r="V45" s="40" t="n">
        <f aca="false">01_ASUMSI!$B$22*$C45</f>
        <v>35340000</v>
      </c>
      <c r="W45" s="40" t="n">
        <f aca="false">$U45+$V45</f>
        <v>144495000</v>
      </c>
      <c r="X45" s="40" t="n">
        <f aca="false">$W45*01_ASUMSI!$B$62</f>
        <v>15894450</v>
      </c>
      <c r="Y45" s="40" t="n">
        <f aca="false">$W45+$X45</f>
        <v>160389450</v>
      </c>
      <c r="Z45" s="40" t="n">
        <f aca="false">$W45*01_ASUMSI!$B$61</f>
        <v>14449500</v>
      </c>
      <c r="AA45" s="40" t="n">
        <f aca="false">$W45-$Z45</f>
        <v>130045500</v>
      </c>
      <c r="AB45" s="34" t="str">
        <f aca="false">02_MASTER_UNIT!I41</f>
        <v>Terisi</v>
      </c>
    </row>
    <row r="46" customFormat="false" ht="15" hidden="false" customHeight="false" outlineLevel="0" collapsed="false">
      <c r="A46" s="34" t="str">
        <f aca="false">02_MASTER_UNIT!B42</f>
        <v>MNS-01-16A</v>
      </c>
      <c r="B46" s="35" t="n">
        <f aca="false">02_MASTER_UNIT!C42</f>
        <v>16</v>
      </c>
      <c r="C46" s="36" t="n">
        <f aca="false">02_MASTER_UNIT!D42</f>
        <v>410</v>
      </c>
      <c r="D46" s="37" t="str">
        <f aca="false">INDEX(03_FAKTOR!$A$6:$A$10,MATCH($B46,03_FAKTOR!$B$6:$B$10,1))</f>
        <v>Tengah</v>
      </c>
      <c r="E46" s="38" t="n">
        <f aca="false">1+INDEX(03_FAKTOR!$D$6:$D$10,MATCH($B46,03_FAKTOR!$B$6:$B$10,1))+INDEX(03_FAKTOR!$E$6:$E$10,MATCH($B46,03_FAKTOR!$B$6:$B$10,1))*($B46-INDEX(03_FAKTOR!$B$6:$B$10,MATCH($B46,03_FAKTOR!$B$6:$B$10,1)))</f>
        <v>1.054</v>
      </c>
      <c r="F46" s="38" t="n">
        <f aca="false">1+01_ASUMSI!$B$36*LN(($B46+01_ASUMSI!$B$38)/(01_ASUMSI!$B$37+01_ASUMSI!$B$38))</f>
        <v>1.03446453418919</v>
      </c>
      <c r="G46" s="38" t="n">
        <f aca="false">IF(01_ASUMSI!$B$35="ZONA",$E46,$F46)</f>
        <v>1.054</v>
      </c>
      <c r="H46" s="39" t="n">
        <f aca="false">IFERROR(INDEX(03_FAKTOR!$B$14:$B$17,MATCH(02_MASTER_UNIT!E42,03_FAKTOR!$A$14:$A$17,0)),0)</f>
        <v>0.03</v>
      </c>
      <c r="I46" s="38" t="n">
        <f aca="false">1+$H46-IF($H46&gt;0,MAX(0,$G46-1)*01_ASUMSI!$B$39,0)</f>
        <v>1.01542</v>
      </c>
      <c r="J46" s="38" t="n">
        <f aca="false">1+IFERROR(INDEX(03_FAKTOR!$B$21:$B$25,MATCH(02_MASTER_UNIT!F42,03_FAKTOR!$A$21:$A$25,0)),0)</f>
        <v>1.03</v>
      </c>
      <c r="K46" s="38" t="n">
        <f aca="false">MIN(01_ASUMSI!$B$45,MAX(01_ASUMSI!$B$44,IFERROR((01_ASUMSI!$B$42/$C46)^01_ASUMSI!$B$43,1)))</f>
        <v>0.980406644835221</v>
      </c>
      <c r="L46" s="38" t="n">
        <f aca="false">1+IFERROR(INDEX(03_FAKTOR!$B$29:$B$32,MATCH(02_MASTER_UNIT!G42,03_FAKTOR!$A$29:$A$32,0)),0)</f>
        <v>1.065</v>
      </c>
      <c r="M46" s="38" t="n">
        <f aca="false">1+IFERROR(INDEX(03_FAKTOR!$B$36:$B$39,MATCH(02_MASTER_UNIT!H42,03_FAKTOR!$A$36:$A$39,0)),0)</f>
        <v>1</v>
      </c>
      <c r="N46" s="38" t="n">
        <f aca="false">$G46*$I46*$J46*$K46*$L46*$M46</f>
        <v>1.15101081037784</v>
      </c>
      <c r="O46" s="38" t="n">
        <f aca="false">MIN(01_ASUMSI!$B$32,MAX(01_ASUMSI!$B$31,$N46))</f>
        <v>1.15101081037784</v>
      </c>
      <c r="Q46" s="40" t="n">
        <f aca="false">$E$6*$O46</f>
        <v>213530.601006042</v>
      </c>
      <c r="R46" s="40" t="n">
        <f aca="false">$Q46*$E$7</f>
        <v>196132.47871008</v>
      </c>
      <c r="S46" s="40" t="n">
        <f aca="false">ROUND($R46/01_ASUMSI!$B$23,0)*01_ASUMSI!$B$23</f>
        <v>196000</v>
      </c>
      <c r="T46" s="40" t="n">
        <f aca="false">$S46+01_ASUMSI!$B$22</f>
        <v>258000</v>
      </c>
      <c r="U46" s="40" t="n">
        <f aca="false">$S46*$C46</f>
        <v>80360000</v>
      </c>
      <c r="V46" s="40" t="n">
        <f aca="false">01_ASUMSI!$B$22*$C46</f>
        <v>25420000</v>
      </c>
      <c r="W46" s="40" t="n">
        <f aca="false">$U46+$V46</f>
        <v>105780000</v>
      </c>
      <c r="X46" s="40" t="n">
        <f aca="false">$W46*01_ASUMSI!$B$62</f>
        <v>11635800</v>
      </c>
      <c r="Y46" s="40" t="n">
        <f aca="false">$W46+$X46</f>
        <v>117415800</v>
      </c>
      <c r="Z46" s="40" t="n">
        <f aca="false">$W46*01_ASUMSI!$B$61</f>
        <v>10578000</v>
      </c>
      <c r="AA46" s="40" t="n">
        <f aca="false">$W46-$Z46</f>
        <v>95202000</v>
      </c>
      <c r="AB46" s="34" t="str">
        <f aca="false">02_MASTER_UNIT!I42</f>
        <v>Terisi</v>
      </c>
    </row>
    <row r="47" customFormat="false" ht="15" hidden="false" customHeight="false" outlineLevel="0" collapsed="false">
      <c r="A47" s="34" t="str">
        <f aca="false">02_MASTER_UNIT!B43</f>
        <v>MNS-01-16B</v>
      </c>
      <c r="B47" s="35" t="n">
        <f aca="false">02_MASTER_UNIT!C43</f>
        <v>16</v>
      </c>
      <c r="C47" s="36" t="n">
        <f aca="false">02_MASTER_UNIT!D43</f>
        <v>375</v>
      </c>
      <c r="D47" s="37" t="str">
        <f aca="false">INDEX(03_FAKTOR!$A$6:$A$10,MATCH($B47,03_FAKTOR!$B$6:$B$10,1))</f>
        <v>Tengah</v>
      </c>
      <c r="E47" s="38" t="n">
        <f aca="false">1+INDEX(03_FAKTOR!$D$6:$D$10,MATCH($B47,03_FAKTOR!$B$6:$B$10,1))+INDEX(03_FAKTOR!$E$6:$E$10,MATCH($B47,03_FAKTOR!$B$6:$B$10,1))*($B47-INDEX(03_FAKTOR!$B$6:$B$10,MATCH($B47,03_FAKTOR!$B$6:$B$10,1)))</f>
        <v>1.054</v>
      </c>
      <c r="F47" s="38" t="n">
        <f aca="false">1+01_ASUMSI!$B$36*LN(($B47+01_ASUMSI!$B$38)/(01_ASUMSI!$B$37+01_ASUMSI!$B$38))</f>
        <v>1.03446453418919</v>
      </c>
      <c r="G47" s="38" t="n">
        <f aca="false">IF(01_ASUMSI!$B$35="ZONA",$E47,$F47)</f>
        <v>1.054</v>
      </c>
      <c r="H47" s="39" t="n">
        <f aca="false">IFERROR(INDEX(03_FAKTOR!$B$14:$B$17,MATCH(02_MASTER_UNIT!E43,03_FAKTOR!$A$14:$A$17,0)),0)</f>
        <v>0.03</v>
      </c>
      <c r="I47" s="38" t="n">
        <f aca="false">1+$H47-IF($H47&gt;0,MAX(0,$G47-1)*01_ASUMSI!$B$39,0)</f>
        <v>1.01542</v>
      </c>
      <c r="J47" s="38" t="n">
        <f aca="false">1+IFERROR(INDEX(03_FAKTOR!$B$21:$B$25,MATCH(02_MASTER_UNIT!F43,03_FAKTOR!$A$21:$A$25,0)),0)</f>
        <v>1.01</v>
      </c>
      <c r="K47" s="38" t="n">
        <f aca="false">MIN(01_ASUMSI!$B$45,MAX(01_ASUMSI!$B$44,IFERROR((01_ASUMSI!$B$42/$C47)^01_ASUMSI!$B$43,1)))</f>
        <v>0.983912209080385</v>
      </c>
      <c r="L47" s="38" t="n">
        <f aca="false">1+IFERROR(INDEX(03_FAKTOR!$B$29:$B$32,MATCH(02_MASTER_UNIT!G43,03_FAKTOR!$A$29:$A$32,0)),0)</f>
        <v>1.035</v>
      </c>
      <c r="M47" s="38" t="n">
        <f aca="false">1+IFERROR(INDEX(03_FAKTOR!$B$36:$B$39,MATCH(02_MASTER_UNIT!H43,03_FAKTOR!$A$36:$A$39,0)),0)</f>
        <v>0.975</v>
      </c>
      <c r="N47" s="38" t="n">
        <f aca="false">$G47*$I47*$J47*$K47*$L47*$M47</f>
        <v>1.07327005629667</v>
      </c>
      <c r="O47" s="38" t="n">
        <f aca="false">MIN(01_ASUMSI!$B$32,MAX(01_ASUMSI!$B$31,$N47))</f>
        <v>1.07327005629667</v>
      </c>
      <c r="Q47" s="40" t="n">
        <f aca="false">$E$6*$O47</f>
        <v>199108.468918362</v>
      </c>
      <c r="R47" s="40" t="n">
        <f aca="false">$Q47*$E$7</f>
        <v>182885.438232913</v>
      </c>
      <c r="S47" s="40" t="n">
        <f aca="false">ROUND($R47/01_ASUMSI!$B$23,0)*01_ASUMSI!$B$23</f>
        <v>183000</v>
      </c>
      <c r="T47" s="40" t="n">
        <f aca="false">$S47+01_ASUMSI!$B$22</f>
        <v>245000</v>
      </c>
      <c r="U47" s="40" t="n">
        <f aca="false">$S47*$C47</f>
        <v>68625000</v>
      </c>
      <c r="V47" s="40" t="n">
        <f aca="false">01_ASUMSI!$B$22*$C47</f>
        <v>23250000</v>
      </c>
      <c r="W47" s="40" t="n">
        <f aca="false">$U47+$V47</f>
        <v>91875000</v>
      </c>
      <c r="X47" s="40" t="n">
        <f aca="false">$W47*01_ASUMSI!$B$62</f>
        <v>10106250</v>
      </c>
      <c r="Y47" s="40" t="n">
        <f aca="false">$W47+$X47</f>
        <v>101981250</v>
      </c>
      <c r="Z47" s="40" t="n">
        <f aca="false">$W47*01_ASUMSI!$B$61</f>
        <v>9187500</v>
      </c>
      <c r="AA47" s="40" t="n">
        <f aca="false">$W47-$Z47</f>
        <v>82687500</v>
      </c>
      <c r="AB47" s="34" t="str">
        <f aca="false">02_MASTER_UNIT!I43</f>
        <v>Terisi</v>
      </c>
    </row>
    <row r="48" customFormat="false" ht="15" hidden="false" customHeight="false" outlineLevel="0" collapsed="false">
      <c r="A48" s="34" t="str">
        <f aca="false">02_MASTER_UNIT!B44</f>
        <v>MNS-01-16C</v>
      </c>
      <c r="B48" s="35" t="n">
        <f aca="false">02_MASTER_UNIT!C44</f>
        <v>16</v>
      </c>
      <c r="C48" s="36" t="n">
        <f aca="false">02_MASTER_UNIT!D44</f>
        <v>415</v>
      </c>
      <c r="D48" s="37" t="str">
        <f aca="false">INDEX(03_FAKTOR!$A$6:$A$10,MATCH($B48,03_FAKTOR!$B$6:$B$10,1))</f>
        <v>Tengah</v>
      </c>
      <c r="E48" s="38" t="n">
        <f aca="false">1+INDEX(03_FAKTOR!$D$6:$D$10,MATCH($B48,03_FAKTOR!$B$6:$B$10,1))+INDEX(03_FAKTOR!$E$6:$E$10,MATCH($B48,03_FAKTOR!$B$6:$B$10,1))*($B48-INDEX(03_FAKTOR!$B$6:$B$10,MATCH($B48,03_FAKTOR!$B$6:$B$10,1)))</f>
        <v>1.054</v>
      </c>
      <c r="F48" s="38" t="n">
        <f aca="false">1+01_ASUMSI!$B$36*LN(($B48+01_ASUMSI!$B$38)/(01_ASUMSI!$B$37+01_ASUMSI!$B$38))</f>
        <v>1.03446453418919</v>
      </c>
      <c r="G48" s="38" t="n">
        <f aca="false">IF(01_ASUMSI!$B$35="ZONA",$E48,$F48)</f>
        <v>1.054</v>
      </c>
      <c r="H48" s="39" t="n">
        <f aca="false">IFERROR(INDEX(03_FAKTOR!$B$14:$B$17,MATCH(02_MASTER_UNIT!E44,03_FAKTOR!$A$14:$A$17,0)),0)</f>
        <v>0.03</v>
      </c>
      <c r="I48" s="38" t="n">
        <f aca="false">1+$H48-IF($H48&gt;0,MAX(0,$G48-1)*01_ASUMSI!$B$39,0)</f>
        <v>1.01542</v>
      </c>
      <c r="J48" s="38" t="n">
        <f aca="false">1+IFERROR(INDEX(03_FAKTOR!$B$21:$B$25,MATCH(02_MASTER_UNIT!F44,03_FAKTOR!$A$21:$A$25,0)),0)</f>
        <v>1</v>
      </c>
      <c r="K48" s="38" t="n">
        <f aca="false">MIN(01_ASUMSI!$B$45,MAX(01_ASUMSI!$B$44,IFERROR((01_ASUMSI!$B$42/$C48)^01_ASUMSI!$B$43,1)))</f>
        <v>0.979931405559049</v>
      </c>
      <c r="L48" s="38" t="n">
        <f aca="false">1+IFERROR(INDEX(03_FAKTOR!$B$29:$B$32,MATCH(02_MASTER_UNIT!G44,03_FAKTOR!$A$29:$A$32,0)),0)</f>
        <v>1.065</v>
      </c>
      <c r="M48" s="38" t="n">
        <f aca="false">1+IFERROR(INDEX(03_FAKTOR!$B$36:$B$39,MATCH(02_MASTER_UNIT!H44,03_FAKTOR!$A$36:$A$39,0)),0)</f>
        <v>1</v>
      </c>
      <c r="N48" s="38" t="n">
        <f aca="false">$G48*$I48*$J48*$K48*$L48*$M48</f>
        <v>1.11694453686176</v>
      </c>
      <c r="O48" s="38" t="n">
        <f aca="false">MIN(01_ASUMSI!$B$32,MAX(01_ASUMSI!$B$31,$N48))</f>
        <v>1.11694453686176</v>
      </c>
      <c r="Q48" s="40" t="n">
        <f aca="false">$E$6*$O48</f>
        <v>207210.771693981</v>
      </c>
      <c r="R48" s="40" t="n">
        <f aca="false">$Q48*$E$7</f>
        <v>190327.578699687</v>
      </c>
      <c r="S48" s="40" t="n">
        <f aca="false">ROUND($R48/01_ASUMSI!$B$23,0)*01_ASUMSI!$B$23</f>
        <v>190500</v>
      </c>
      <c r="T48" s="40" t="n">
        <f aca="false">$S48+01_ASUMSI!$B$22</f>
        <v>252500</v>
      </c>
      <c r="U48" s="40" t="n">
        <f aca="false">$S48*$C48</f>
        <v>79057500</v>
      </c>
      <c r="V48" s="40" t="n">
        <f aca="false">01_ASUMSI!$B$22*$C48</f>
        <v>25730000</v>
      </c>
      <c r="W48" s="40" t="n">
        <f aca="false">$U48+$V48</f>
        <v>104787500</v>
      </c>
      <c r="X48" s="40" t="n">
        <f aca="false">$W48*01_ASUMSI!$B$62</f>
        <v>11526625</v>
      </c>
      <c r="Y48" s="40" t="n">
        <f aca="false">$W48+$X48</f>
        <v>116314125</v>
      </c>
      <c r="Z48" s="40" t="n">
        <f aca="false">$W48*01_ASUMSI!$B$61</f>
        <v>10478750</v>
      </c>
      <c r="AA48" s="40" t="n">
        <f aca="false">$W48-$Z48</f>
        <v>94308750</v>
      </c>
      <c r="AB48" s="34" t="str">
        <f aca="false">02_MASTER_UNIT!I44</f>
        <v>Terisi</v>
      </c>
    </row>
    <row r="49" customFormat="false" ht="15" hidden="false" customHeight="false" outlineLevel="0" collapsed="false">
      <c r="A49" s="34" t="str">
        <f aca="false">02_MASTER_UNIT!B45</f>
        <v>MNS-01-17A</v>
      </c>
      <c r="B49" s="35" t="n">
        <f aca="false">02_MASTER_UNIT!C45</f>
        <v>17</v>
      </c>
      <c r="C49" s="36" t="n">
        <f aca="false">02_MASTER_UNIT!D45</f>
        <v>645</v>
      </c>
      <c r="D49" s="37" t="str">
        <f aca="false">INDEX(03_FAKTOR!$A$6:$A$10,MATCH($B49,03_FAKTOR!$B$6:$B$10,1))</f>
        <v>Tengah</v>
      </c>
      <c r="E49" s="38" t="n">
        <f aca="false">1+INDEX(03_FAKTOR!$D$6:$D$10,MATCH($B49,03_FAKTOR!$B$6:$B$10,1))+INDEX(03_FAKTOR!$E$6:$E$10,MATCH($B49,03_FAKTOR!$B$6:$B$10,1))*($B49-INDEX(03_FAKTOR!$B$6:$B$10,MATCH($B49,03_FAKTOR!$B$6:$B$10,1)))</f>
        <v>1.057</v>
      </c>
      <c r="F49" s="38" t="n">
        <f aca="false">1+01_ASUMSI!$B$36*LN(($B49+01_ASUMSI!$B$38)/(01_ASUMSI!$B$37+01_ASUMSI!$B$38))</f>
        <v>1.03841873551816</v>
      </c>
      <c r="G49" s="38" t="n">
        <f aca="false">IF(01_ASUMSI!$B$35="ZONA",$E49,$F49)</f>
        <v>1.057</v>
      </c>
      <c r="H49" s="39" t="n">
        <f aca="false">IFERROR(INDEX(03_FAKTOR!$B$14:$B$17,MATCH(02_MASTER_UNIT!E45,03_FAKTOR!$A$14:$A$17,0)),0)</f>
        <v>0.03</v>
      </c>
      <c r="I49" s="38" t="n">
        <f aca="false">1+$H49-IF($H49&gt;0,MAX(0,$G49-1)*01_ASUMSI!$B$39,0)</f>
        <v>1.01461</v>
      </c>
      <c r="J49" s="38" t="n">
        <f aca="false">1+IFERROR(INDEX(03_FAKTOR!$B$21:$B$25,MATCH(02_MASTER_UNIT!F45,03_FAKTOR!$A$21:$A$25,0)),0)</f>
        <v>1.01</v>
      </c>
      <c r="K49" s="38" t="n">
        <f aca="false">MIN(01_ASUMSI!$B$45,MAX(01_ASUMSI!$B$44,IFERROR((01_ASUMSI!$B$42/$C49)^01_ASUMSI!$B$43,1)))</f>
        <v>0.9627980716251</v>
      </c>
      <c r="L49" s="38" t="n">
        <f aca="false">1+IFERROR(INDEX(03_FAKTOR!$B$29:$B$32,MATCH(02_MASTER_UNIT!G45,03_FAKTOR!$A$29:$A$32,0)),0)</f>
        <v>1.035</v>
      </c>
      <c r="M49" s="38" t="n">
        <f aca="false">1+IFERROR(INDEX(03_FAKTOR!$B$36:$B$39,MATCH(02_MASTER_UNIT!H45,03_FAKTOR!$A$36:$A$39,0)),0)</f>
        <v>1</v>
      </c>
      <c r="N49" s="38" t="n">
        <f aca="false">$G49*$I49*$J49*$K49*$L49*$M49</f>
        <v>1.07937178431488</v>
      </c>
      <c r="O49" s="38" t="n">
        <f aca="false">MIN(01_ASUMSI!$B$32,MAX(01_ASUMSI!$B$31,$N49))</f>
        <v>1.07937178431488</v>
      </c>
      <c r="Q49" s="40" t="n">
        <f aca="false">$E$6*$O49</f>
        <v>200240.4353944</v>
      </c>
      <c r="R49" s="40" t="n">
        <f aca="false">$Q49*$E$7</f>
        <v>183925.173941594</v>
      </c>
      <c r="S49" s="40" t="n">
        <f aca="false">ROUND($R49/01_ASUMSI!$B$23,0)*01_ASUMSI!$B$23</f>
        <v>184000</v>
      </c>
      <c r="T49" s="40" t="n">
        <f aca="false">$S49+01_ASUMSI!$B$22</f>
        <v>246000</v>
      </c>
      <c r="U49" s="40" t="n">
        <f aca="false">$S49*$C49</f>
        <v>118680000</v>
      </c>
      <c r="V49" s="40" t="n">
        <f aca="false">01_ASUMSI!$B$22*$C49</f>
        <v>39990000</v>
      </c>
      <c r="W49" s="40" t="n">
        <f aca="false">$U49+$V49</f>
        <v>158670000</v>
      </c>
      <c r="X49" s="40" t="n">
        <f aca="false">$W49*01_ASUMSI!$B$62</f>
        <v>17453700</v>
      </c>
      <c r="Y49" s="40" t="n">
        <f aca="false">$W49+$X49</f>
        <v>176123700</v>
      </c>
      <c r="Z49" s="40" t="n">
        <f aca="false">$W49*01_ASUMSI!$B$61</f>
        <v>15867000</v>
      </c>
      <c r="AA49" s="40" t="n">
        <f aca="false">$W49-$Z49</f>
        <v>142803000</v>
      </c>
      <c r="AB49" s="34" t="str">
        <f aca="false">02_MASTER_UNIT!I45</f>
        <v>Terisi</v>
      </c>
    </row>
    <row r="50" customFormat="false" ht="15" hidden="false" customHeight="false" outlineLevel="0" collapsed="false">
      <c r="A50" s="34" t="str">
        <f aca="false">02_MASTER_UNIT!B46</f>
        <v>MNS-01-17B</v>
      </c>
      <c r="B50" s="35" t="n">
        <f aca="false">02_MASTER_UNIT!C46</f>
        <v>17</v>
      </c>
      <c r="C50" s="36" t="n">
        <f aca="false">02_MASTER_UNIT!D46</f>
        <v>555</v>
      </c>
      <c r="D50" s="37" t="str">
        <f aca="false">INDEX(03_FAKTOR!$A$6:$A$10,MATCH($B50,03_FAKTOR!$B$6:$B$10,1))</f>
        <v>Tengah</v>
      </c>
      <c r="E50" s="38" t="n">
        <f aca="false">1+INDEX(03_FAKTOR!$D$6:$D$10,MATCH($B50,03_FAKTOR!$B$6:$B$10,1))+INDEX(03_FAKTOR!$E$6:$E$10,MATCH($B50,03_FAKTOR!$B$6:$B$10,1))*($B50-INDEX(03_FAKTOR!$B$6:$B$10,MATCH($B50,03_FAKTOR!$B$6:$B$10,1)))</f>
        <v>1.057</v>
      </c>
      <c r="F50" s="38" t="n">
        <f aca="false">1+01_ASUMSI!$B$36*LN(($B50+01_ASUMSI!$B$38)/(01_ASUMSI!$B$37+01_ASUMSI!$B$38))</f>
        <v>1.03841873551816</v>
      </c>
      <c r="G50" s="38" t="n">
        <f aca="false">IF(01_ASUMSI!$B$35="ZONA",$E50,$F50)</f>
        <v>1.057</v>
      </c>
      <c r="H50" s="39" t="n">
        <f aca="false">IFERROR(INDEX(03_FAKTOR!$B$14:$B$17,MATCH(02_MASTER_UNIT!E46,03_FAKTOR!$A$14:$A$17,0)),0)</f>
        <v>0.03</v>
      </c>
      <c r="I50" s="38" t="n">
        <f aca="false">1+$H50-IF($H50&gt;0,MAX(0,$G50-1)*01_ASUMSI!$B$39,0)</f>
        <v>1.01461</v>
      </c>
      <c r="J50" s="38" t="n">
        <f aca="false">1+IFERROR(INDEX(03_FAKTOR!$B$21:$B$25,MATCH(02_MASTER_UNIT!F46,03_FAKTOR!$A$21:$A$25,0)),0)</f>
        <v>1</v>
      </c>
      <c r="K50" s="38" t="n">
        <f aca="false">MIN(01_ASUMSI!$B$45,MAX(01_ASUMSI!$B$44,IFERROR((01_ASUMSI!$B$42/$C50)^01_ASUMSI!$B$43,1)))</f>
        <v>0.968603158781814</v>
      </c>
      <c r="L50" s="38" t="n">
        <f aca="false">1+IFERROR(INDEX(03_FAKTOR!$B$29:$B$32,MATCH(02_MASTER_UNIT!G46,03_FAKTOR!$A$29:$A$32,0)),0)</f>
        <v>1.065</v>
      </c>
      <c r="M50" s="38" t="n">
        <f aca="false">1+IFERROR(INDEX(03_FAKTOR!$B$36:$B$39,MATCH(02_MASTER_UNIT!H46,03_FAKTOR!$A$36:$A$39,0)),0)</f>
        <v>1</v>
      </c>
      <c r="N50" s="38" t="n">
        <f aca="false">$G50*$I50*$J50*$K50*$L50*$M50</f>
        <v>1.10629159918597</v>
      </c>
      <c r="O50" s="38" t="n">
        <f aca="false">MIN(01_ASUMSI!$B$32,MAX(01_ASUMSI!$B$31,$N50))</f>
        <v>1.10629159918597</v>
      </c>
      <c r="Q50" s="40" t="n">
        <f aca="false">$E$6*$O50</f>
        <v>205234.484274366</v>
      </c>
      <c r="R50" s="40" t="n">
        <f aca="false">$Q50*$E$7</f>
        <v>188512.315929731</v>
      </c>
      <c r="S50" s="40" t="n">
        <f aca="false">ROUND($R50/01_ASUMSI!$B$23,0)*01_ASUMSI!$B$23</f>
        <v>188500</v>
      </c>
      <c r="T50" s="40" t="n">
        <f aca="false">$S50+01_ASUMSI!$B$22</f>
        <v>250500</v>
      </c>
      <c r="U50" s="40" t="n">
        <f aca="false">$S50*$C50</f>
        <v>104617500</v>
      </c>
      <c r="V50" s="40" t="n">
        <f aca="false">01_ASUMSI!$B$22*$C50</f>
        <v>34410000</v>
      </c>
      <c r="W50" s="40" t="n">
        <f aca="false">$U50+$V50</f>
        <v>139027500</v>
      </c>
      <c r="X50" s="40" t="n">
        <f aca="false">$W50*01_ASUMSI!$B$62</f>
        <v>15293025</v>
      </c>
      <c r="Y50" s="40" t="n">
        <f aca="false">$W50+$X50</f>
        <v>154320525</v>
      </c>
      <c r="Z50" s="40" t="n">
        <f aca="false">$W50*01_ASUMSI!$B$61</f>
        <v>13902750</v>
      </c>
      <c r="AA50" s="40" t="n">
        <f aca="false">$W50-$Z50</f>
        <v>125124750</v>
      </c>
      <c r="AB50" s="34" t="str">
        <f aca="false">02_MASTER_UNIT!I46</f>
        <v>Terisi</v>
      </c>
    </row>
    <row r="51" customFormat="false" ht="15" hidden="false" customHeight="false" outlineLevel="0" collapsed="false">
      <c r="A51" s="34" t="str">
        <f aca="false">02_MASTER_UNIT!B47</f>
        <v>MNS-01-18A</v>
      </c>
      <c r="B51" s="35" t="n">
        <f aca="false">02_MASTER_UNIT!C47</f>
        <v>18</v>
      </c>
      <c r="C51" s="36" t="n">
        <f aca="false">02_MASTER_UNIT!D47</f>
        <v>575</v>
      </c>
      <c r="D51" s="37" t="str">
        <f aca="false">INDEX(03_FAKTOR!$A$6:$A$10,MATCH($B51,03_FAKTOR!$B$6:$B$10,1))</f>
        <v>Tengah</v>
      </c>
      <c r="E51" s="38" t="n">
        <f aca="false">1+INDEX(03_FAKTOR!$D$6:$D$10,MATCH($B51,03_FAKTOR!$B$6:$B$10,1))+INDEX(03_FAKTOR!$E$6:$E$10,MATCH($B51,03_FAKTOR!$B$6:$B$10,1))*($B51-INDEX(03_FAKTOR!$B$6:$B$10,MATCH($B51,03_FAKTOR!$B$6:$B$10,1)))</f>
        <v>1.06</v>
      </c>
      <c r="F51" s="38" t="n">
        <f aca="false">1+01_ASUMSI!$B$36*LN(($B51+01_ASUMSI!$B$38)/(01_ASUMSI!$B$37+01_ASUMSI!$B$38))</f>
        <v>1.04219713533668</v>
      </c>
      <c r="G51" s="38" t="n">
        <f aca="false">IF(01_ASUMSI!$B$35="ZONA",$E51,$F51)</f>
        <v>1.06</v>
      </c>
      <c r="H51" s="39" t="n">
        <f aca="false">IFERROR(INDEX(03_FAKTOR!$B$14:$B$17,MATCH(02_MASTER_UNIT!E47,03_FAKTOR!$A$14:$A$17,0)),0)</f>
        <v>0.03</v>
      </c>
      <c r="I51" s="38" t="n">
        <f aca="false">1+$H51-IF($H51&gt;0,MAX(0,$G51-1)*01_ASUMSI!$B$39,0)</f>
        <v>1.0138</v>
      </c>
      <c r="J51" s="38" t="n">
        <f aca="false">1+IFERROR(INDEX(03_FAKTOR!$B$21:$B$25,MATCH(02_MASTER_UNIT!F47,03_FAKTOR!$A$21:$A$25,0)),0)</f>
        <v>1.03</v>
      </c>
      <c r="K51" s="38" t="n">
        <f aca="false">MIN(01_ASUMSI!$B$45,MAX(01_ASUMSI!$B$44,IFERROR((01_ASUMSI!$B$42/$C51)^01_ASUMSI!$B$43,1)))</f>
        <v>0.967232512746337</v>
      </c>
      <c r="L51" s="38" t="n">
        <f aca="false">1+IFERROR(INDEX(03_FAKTOR!$B$29:$B$32,MATCH(02_MASTER_UNIT!G47,03_FAKTOR!$A$29:$A$32,0)),0)</f>
        <v>1.065</v>
      </c>
      <c r="M51" s="38" t="n">
        <f aca="false">1+IFERROR(INDEX(03_FAKTOR!$B$36:$B$39,MATCH(02_MASTER_UNIT!H47,03_FAKTOR!$A$36:$A$39,0)),0)</f>
        <v>1</v>
      </c>
      <c r="N51" s="38" t="n">
        <f aca="false">$G51*$I51*$J51*$K51*$L51*$M51</f>
        <v>1.14018643859917</v>
      </c>
      <c r="O51" s="38" t="n">
        <f aca="false">MIN(01_ASUMSI!$B$32,MAX(01_ASUMSI!$B$31,$N51))</f>
        <v>1.14018643859917</v>
      </c>
      <c r="Q51" s="40" t="n">
        <f aca="false">$E$6*$O51</f>
        <v>211522.50986513</v>
      </c>
      <c r="R51" s="40" t="n">
        <f aca="false">$Q51*$E$7</f>
        <v>194288.003533749</v>
      </c>
      <c r="S51" s="40" t="n">
        <f aca="false">ROUND($R51/01_ASUMSI!$B$23,0)*01_ASUMSI!$B$23</f>
        <v>194500</v>
      </c>
      <c r="T51" s="40" t="n">
        <f aca="false">$S51+01_ASUMSI!$B$22</f>
        <v>256500</v>
      </c>
      <c r="U51" s="40" t="n">
        <f aca="false">$S51*$C51</f>
        <v>111837500</v>
      </c>
      <c r="V51" s="40" t="n">
        <f aca="false">01_ASUMSI!$B$22*$C51</f>
        <v>35650000</v>
      </c>
      <c r="W51" s="40" t="n">
        <f aca="false">$U51+$V51</f>
        <v>147487500</v>
      </c>
      <c r="X51" s="40" t="n">
        <f aca="false">$W51*01_ASUMSI!$B$62</f>
        <v>16223625</v>
      </c>
      <c r="Y51" s="40" t="n">
        <f aca="false">$W51+$X51</f>
        <v>163711125</v>
      </c>
      <c r="Z51" s="40" t="n">
        <f aca="false">$W51*01_ASUMSI!$B$61</f>
        <v>14748750</v>
      </c>
      <c r="AA51" s="40" t="n">
        <f aca="false">$W51-$Z51</f>
        <v>132738750</v>
      </c>
      <c r="AB51" s="34" t="str">
        <f aca="false">02_MASTER_UNIT!I47</f>
        <v>Terisi</v>
      </c>
    </row>
    <row r="52" customFormat="false" ht="15" hidden="false" customHeight="false" outlineLevel="0" collapsed="false">
      <c r="A52" s="34" t="str">
        <f aca="false">02_MASTER_UNIT!B48</f>
        <v>MNS-01-18B</v>
      </c>
      <c r="B52" s="35" t="n">
        <f aca="false">02_MASTER_UNIT!C48</f>
        <v>18</v>
      </c>
      <c r="C52" s="36" t="n">
        <f aca="false">02_MASTER_UNIT!D48</f>
        <v>625</v>
      </c>
      <c r="D52" s="37" t="str">
        <f aca="false">INDEX(03_FAKTOR!$A$6:$A$10,MATCH($B52,03_FAKTOR!$B$6:$B$10,1))</f>
        <v>Tengah</v>
      </c>
      <c r="E52" s="38" t="n">
        <f aca="false">1+INDEX(03_FAKTOR!$D$6:$D$10,MATCH($B52,03_FAKTOR!$B$6:$B$10,1))+INDEX(03_FAKTOR!$E$6:$E$10,MATCH($B52,03_FAKTOR!$B$6:$B$10,1))*($B52-INDEX(03_FAKTOR!$B$6:$B$10,MATCH($B52,03_FAKTOR!$B$6:$B$10,1)))</f>
        <v>1.06</v>
      </c>
      <c r="F52" s="38" t="n">
        <f aca="false">1+01_ASUMSI!$B$36*LN(($B52+01_ASUMSI!$B$38)/(01_ASUMSI!$B$37+01_ASUMSI!$B$38))</f>
        <v>1.04219713533668</v>
      </c>
      <c r="G52" s="38" t="n">
        <f aca="false">IF(01_ASUMSI!$B$35="ZONA",$E52,$F52)</f>
        <v>1.06</v>
      </c>
      <c r="H52" s="39" t="n">
        <f aca="false">IFERROR(INDEX(03_FAKTOR!$B$14:$B$17,MATCH(02_MASTER_UNIT!E48,03_FAKTOR!$A$14:$A$17,0)),0)</f>
        <v>0.03</v>
      </c>
      <c r="I52" s="38" t="n">
        <f aca="false">1+$H52-IF($H52&gt;0,MAX(0,$G52-1)*01_ASUMSI!$B$39,0)</f>
        <v>1.0138</v>
      </c>
      <c r="J52" s="38" t="n">
        <f aca="false">1+IFERROR(INDEX(03_FAKTOR!$B$21:$B$25,MATCH(02_MASTER_UNIT!F48,03_FAKTOR!$A$21:$A$25,0)),0)</f>
        <v>0.985</v>
      </c>
      <c r="K52" s="38" t="n">
        <f aca="false">MIN(01_ASUMSI!$B$45,MAX(01_ASUMSI!$B$44,IFERROR((01_ASUMSI!$B$42/$C52)^01_ASUMSI!$B$43,1)))</f>
        <v>0.964011910386724</v>
      </c>
      <c r="L52" s="38" t="n">
        <f aca="false">1+IFERROR(INDEX(03_FAKTOR!$B$29:$B$32,MATCH(02_MASTER_UNIT!G48,03_FAKTOR!$A$29:$A$32,0)),0)</f>
        <v>1.035</v>
      </c>
      <c r="M52" s="38" t="n">
        <f aca="false">1+IFERROR(INDEX(03_FAKTOR!$B$36:$B$39,MATCH(02_MASTER_UNIT!H48,03_FAKTOR!$A$36:$A$39,0)),0)</f>
        <v>1</v>
      </c>
      <c r="N52" s="38" t="n">
        <f aca="false">$G52*$I52*$J52*$K52*$L52*$M52</f>
        <v>1.05612939910937</v>
      </c>
      <c r="O52" s="38" t="n">
        <f aca="false">MIN(01_ASUMSI!$B$32,MAX(01_ASUMSI!$B$31,$N52))</f>
        <v>1.05612939910937</v>
      </c>
      <c r="Q52" s="40" t="n">
        <f aca="false">$E$6*$O52</f>
        <v>195928.607532316</v>
      </c>
      <c r="R52" s="40" t="n">
        <f aca="false">$Q52*$E$7</f>
        <v>179964.666724467</v>
      </c>
      <c r="S52" s="40" t="n">
        <f aca="false">ROUND($R52/01_ASUMSI!$B$23,0)*01_ASUMSI!$B$23</f>
        <v>180000</v>
      </c>
      <c r="T52" s="40" t="n">
        <f aca="false">$S52+01_ASUMSI!$B$22</f>
        <v>242000</v>
      </c>
      <c r="U52" s="40" t="n">
        <f aca="false">$S52*$C52</f>
        <v>112500000</v>
      </c>
      <c r="V52" s="40" t="n">
        <f aca="false">01_ASUMSI!$B$22*$C52</f>
        <v>38750000</v>
      </c>
      <c r="W52" s="40" t="n">
        <f aca="false">$U52+$V52</f>
        <v>151250000</v>
      </c>
      <c r="X52" s="40" t="n">
        <f aca="false">$W52*01_ASUMSI!$B$62</f>
        <v>16637500</v>
      </c>
      <c r="Y52" s="40" t="n">
        <f aca="false">$W52+$X52</f>
        <v>167887500</v>
      </c>
      <c r="Z52" s="40" t="n">
        <f aca="false">$W52*01_ASUMSI!$B$61</f>
        <v>15125000</v>
      </c>
      <c r="AA52" s="40" t="n">
        <f aca="false">$W52-$Z52</f>
        <v>136125000</v>
      </c>
      <c r="AB52" s="34" t="str">
        <f aca="false">02_MASTER_UNIT!I48</f>
        <v>Terisi</v>
      </c>
    </row>
    <row r="53" customFormat="false" ht="15" hidden="false" customHeight="false" outlineLevel="0" collapsed="false">
      <c r="A53" s="34" t="str">
        <f aca="false">02_MASTER_UNIT!B49</f>
        <v>MNS-01-19A</v>
      </c>
      <c r="B53" s="35" t="n">
        <f aca="false">02_MASTER_UNIT!C49</f>
        <v>19</v>
      </c>
      <c r="C53" s="36" t="n">
        <f aca="false">02_MASTER_UNIT!D49</f>
        <v>670</v>
      </c>
      <c r="D53" s="37" t="str">
        <f aca="false">INDEX(03_FAKTOR!$A$6:$A$10,MATCH($B53,03_FAKTOR!$B$6:$B$10,1))</f>
        <v>Tengah</v>
      </c>
      <c r="E53" s="38" t="n">
        <f aca="false">1+INDEX(03_FAKTOR!$D$6:$D$10,MATCH($B53,03_FAKTOR!$B$6:$B$10,1))+INDEX(03_FAKTOR!$E$6:$E$10,MATCH($B53,03_FAKTOR!$B$6:$B$10,1))*($B53-INDEX(03_FAKTOR!$B$6:$B$10,MATCH($B53,03_FAKTOR!$B$6:$B$10,1)))</f>
        <v>1.063</v>
      </c>
      <c r="F53" s="38" t="n">
        <f aca="false">1+01_ASUMSI!$B$36*LN(($B53+01_ASUMSI!$B$38)/(01_ASUMSI!$B$37+01_ASUMSI!$B$38))</f>
        <v>1.04581470256228</v>
      </c>
      <c r="G53" s="38" t="n">
        <f aca="false">IF(01_ASUMSI!$B$35="ZONA",$E53,$F53)</f>
        <v>1.063</v>
      </c>
      <c r="H53" s="39" t="n">
        <f aca="false">IFERROR(INDEX(03_FAKTOR!$B$14:$B$17,MATCH(02_MASTER_UNIT!E49,03_FAKTOR!$A$14:$A$17,0)),0)</f>
        <v>0.03</v>
      </c>
      <c r="I53" s="38" t="n">
        <f aca="false">1+$H53-IF($H53&gt;0,MAX(0,$G53-1)*01_ASUMSI!$B$39,0)</f>
        <v>1.01299</v>
      </c>
      <c r="J53" s="38" t="n">
        <f aca="false">1+IFERROR(INDEX(03_FAKTOR!$B$21:$B$25,MATCH(02_MASTER_UNIT!F49,03_FAKTOR!$A$21:$A$25,0)),0)</f>
        <v>1.03</v>
      </c>
      <c r="K53" s="38" t="n">
        <f aca="false">MIN(01_ASUMSI!$B$45,MAX(01_ASUMSI!$B$44,IFERROR((01_ASUMSI!$B$42/$C53)^01_ASUMSI!$B$43,1)))</f>
        <v>0.961334676763475</v>
      </c>
      <c r="L53" s="38" t="n">
        <f aca="false">1+IFERROR(INDEX(03_FAKTOR!$B$29:$B$32,MATCH(02_MASTER_UNIT!G49,03_FAKTOR!$A$29:$A$32,0)),0)</f>
        <v>1.035</v>
      </c>
      <c r="M53" s="38" t="n">
        <f aca="false">1+IFERROR(INDEX(03_FAKTOR!$B$36:$B$39,MATCH(02_MASTER_UNIT!H49,03_FAKTOR!$A$36:$A$39,0)),0)</f>
        <v>1.015</v>
      </c>
      <c r="N53" s="38" t="n">
        <f aca="false">$G53*$I53*$J53*$K53*$L53*$M53</f>
        <v>1.12009961417656</v>
      </c>
      <c r="O53" s="38" t="n">
        <f aca="false">MIN(01_ASUMSI!$B$32,MAX(01_ASUMSI!$B$31,$N53))</f>
        <v>1.12009961417656</v>
      </c>
      <c r="Q53" s="40" t="n">
        <f aca="false">$E$6*$O53</f>
        <v>207796.0881386</v>
      </c>
      <c r="R53" s="40" t="n">
        <f aca="false">$Q53*$E$7</f>
        <v>190865.204522741</v>
      </c>
      <c r="S53" s="40" t="n">
        <f aca="false">ROUND($R53/01_ASUMSI!$B$23,0)*01_ASUMSI!$B$23</f>
        <v>191000</v>
      </c>
      <c r="T53" s="40" t="n">
        <f aca="false">$S53+01_ASUMSI!$B$22</f>
        <v>253000</v>
      </c>
      <c r="U53" s="40" t="n">
        <f aca="false">$S53*$C53</f>
        <v>127970000</v>
      </c>
      <c r="V53" s="40" t="n">
        <f aca="false">01_ASUMSI!$B$22*$C53</f>
        <v>41540000</v>
      </c>
      <c r="W53" s="40" t="n">
        <f aca="false">$U53+$V53</f>
        <v>169510000</v>
      </c>
      <c r="X53" s="40" t="n">
        <f aca="false">$W53*01_ASUMSI!$B$62</f>
        <v>18646100</v>
      </c>
      <c r="Y53" s="40" t="n">
        <f aca="false">$W53+$X53</f>
        <v>188156100</v>
      </c>
      <c r="Z53" s="40" t="n">
        <f aca="false">$W53*01_ASUMSI!$B$61</f>
        <v>16951000</v>
      </c>
      <c r="AA53" s="40" t="n">
        <f aca="false">$W53-$Z53</f>
        <v>152559000</v>
      </c>
      <c r="AB53" s="34" t="str">
        <f aca="false">02_MASTER_UNIT!I49</f>
        <v>Terisi</v>
      </c>
    </row>
    <row r="54" customFormat="false" ht="15" hidden="false" customHeight="false" outlineLevel="0" collapsed="false">
      <c r="A54" s="34" t="str">
        <f aca="false">02_MASTER_UNIT!B50</f>
        <v>MNS-01-19B</v>
      </c>
      <c r="B54" s="35" t="n">
        <f aca="false">02_MASTER_UNIT!C50</f>
        <v>19</v>
      </c>
      <c r="C54" s="36" t="n">
        <f aca="false">02_MASTER_UNIT!D50</f>
        <v>530</v>
      </c>
      <c r="D54" s="37" t="str">
        <f aca="false">INDEX(03_FAKTOR!$A$6:$A$10,MATCH($B54,03_FAKTOR!$B$6:$B$10,1))</f>
        <v>Tengah</v>
      </c>
      <c r="E54" s="38" t="n">
        <f aca="false">1+INDEX(03_FAKTOR!$D$6:$D$10,MATCH($B54,03_FAKTOR!$B$6:$B$10,1))+INDEX(03_FAKTOR!$E$6:$E$10,MATCH($B54,03_FAKTOR!$B$6:$B$10,1))*($B54-INDEX(03_FAKTOR!$B$6:$B$10,MATCH($B54,03_FAKTOR!$B$6:$B$10,1)))</f>
        <v>1.063</v>
      </c>
      <c r="F54" s="38" t="n">
        <f aca="false">1+01_ASUMSI!$B$36*LN(($B54+01_ASUMSI!$B$38)/(01_ASUMSI!$B$37+01_ASUMSI!$B$38))</f>
        <v>1.04581470256228</v>
      </c>
      <c r="G54" s="38" t="n">
        <f aca="false">IF(01_ASUMSI!$B$35="ZONA",$E54,$F54)</f>
        <v>1.063</v>
      </c>
      <c r="H54" s="39" t="n">
        <f aca="false">IFERROR(INDEX(03_FAKTOR!$B$14:$B$17,MATCH(02_MASTER_UNIT!E50,03_FAKTOR!$A$14:$A$17,0)),0)</f>
        <v>0</v>
      </c>
      <c r="I54" s="38" t="n">
        <f aca="false">1+$H54-IF($H54&gt;0,MAX(0,$G54-1)*01_ASUMSI!$B$39,0)</f>
        <v>1</v>
      </c>
      <c r="J54" s="38" t="n">
        <f aca="false">1+IFERROR(INDEX(03_FAKTOR!$B$21:$B$25,MATCH(02_MASTER_UNIT!F50,03_FAKTOR!$A$21:$A$25,0)),0)</f>
        <v>0.985</v>
      </c>
      <c r="K54" s="38" t="n">
        <f aca="false">MIN(01_ASUMSI!$B$45,MAX(01_ASUMSI!$B$44,IFERROR((01_ASUMSI!$B$42/$C54)^01_ASUMSI!$B$43,1)))</f>
        <v>0.970390565627775</v>
      </c>
      <c r="L54" s="38" t="n">
        <f aca="false">1+IFERROR(INDEX(03_FAKTOR!$B$29:$B$32,MATCH(02_MASTER_UNIT!G50,03_FAKTOR!$A$29:$A$32,0)),0)</f>
        <v>1.035</v>
      </c>
      <c r="M54" s="38" t="n">
        <f aca="false">1+IFERROR(INDEX(03_FAKTOR!$B$36:$B$39,MATCH(02_MASTER_UNIT!H50,03_FAKTOR!$A$36:$A$39,0)),0)</f>
        <v>1</v>
      </c>
      <c r="N54" s="38" t="n">
        <f aca="false">$G54*$I54*$J54*$K54*$L54*$M54</f>
        <v>1.05161412397266</v>
      </c>
      <c r="O54" s="38" t="n">
        <f aca="false">MIN(01_ASUMSI!$B$32,MAX(01_ASUMSI!$B$31,$N54))</f>
        <v>1.05161412397266</v>
      </c>
      <c r="Q54" s="40" t="n">
        <f aca="false">$E$6*$O54</f>
        <v>195090.953007305</v>
      </c>
      <c r="R54" s="40" t="n">
        <f aca="false">$Q54*$E$7</f>
        <v>179195.262912934</v>
      </c>
      <c r="S54" s="40" t="n">
        <f aca="false">ROUND($R54/01_ASUMSI!$B$23,0)*01_ASUMSI!$B$23</f>
        <v>179000</v>
      </c>
      <c r="T54" s="40" t="n">
        <f aca="false">$S54+01_ASUMSI!$B$22</f>
        <v>241000</v>
      </c>
      <c r="U54" s="40" t="n">
        <f aca="false">$S54*$C54</f>
        <v>94870000</v>
      </c>
      <c r="V54" s="40" t="n">
        <f aca="false">01_ASUMSI!$B$22*$C54</f>
        <v>32860000</v>
      </c>
      <c r="W54" s="40" t="n">
        <f aca="false">$U54+$V54</f>
        <v>127730000</v>
      </c>
      <c r="X54" s="40" t="n">
        <f aca="false">$W54*01_ASUMSI!$B$62</f>
        <v>14050300</v>
      </c>
      <c r="Y54" s="40" t="n">
        <f aca="false">$W54+$X54</f>
        <v>141780300</v>
      </c>
      <c r="Z54" s="40" t="n">
        <f aca="false">$W54*01_ASUMSI!$B$61</f>
        <v>12773000</v>
      </c>
      <c r="AA54" s="40" t="n">
        <f aca="false">$W54-$Z54</f>
        <v>114957000</v>
      </c>
      <c r="AB54" s="34" t="str">
        <f aca="false">02_MASTER_UNIT!I50</f>
        <v>Terisi</v>
      </c>
    </row>
    <row r="55" customFormat="false" ht="15" hidden="false" customHeight="false" outlineLevel="0" collapsed="false">
      <c r="A55" s="34" t="str">
        <f aca="false">02_MASTER_UNIT!B51</f>
        <v>MNS-01-20A</v>
      </c>
      <c r="B55" s="35" t="n">
        <f aca="false">02_MASTER_UNIT!C51</f>
        <v>20</v>
      </c>
      <c r="C55" s="36" t="n">
        <f aca="false">02_MASTER_UNIT!D51</f>
        <v>420</v>
      </c>
      <c r="D55" s="37" t="str">
        <f aca="false">INDEX(03_FAKTOR!$A$6:$A$10,MATCH($B55,03_FAKTOR!$B$6:$B$10,1))</f>
        <v>Tengah</v>
      </c>
      <c r="E55" s="38" t="n">
        <f aca="false">1+INDEX(03_FAKTOR!$D$6:$D$10,MATCH($B55,03_FAKTOR!$B$6:$B$10,1))+INDEX(03_FAKTOR!$E$6:$E$10,MATCH($B55,03_FAKTOR!$B$6:$B$10,1))*($B55-INDEX(03_FAKTOR!$B$6:$B$10,MATCH($B55,03_FAKTOR!$B$6:$B$10,1)))</f>
        <v>1.066</v>
      </c>
      <c r="F55" s="38" t="n">
        <f aca="false">1+01_ASUMSI!$B$36*LN(($B55+01_ASUMSI!$B$38)/(01_ASUMSI!$B$37+01_ASUMSI!$B$38))</f>
        <v>1.0492845720965</v>
      </c>
      <c r="G55" s="38" t="n">
        <f aca="false">IF(01_ASUMSI!$B$35="ZONA",$E55,$F55)</f>
        <v>1.066</v>
      </c>
      <c r="H55" s="39" t="n">
        <f aca="false">IFERROR(INDEX(03_FAKTOR!$B$14:$B$17,MATCH(02_MASTER_UNIT!E51,03_FAKTOR!$A$14:$A$17,0)),0)</f>
        <v>0</v>
      </c>
      <c r="I55" s="38" t="n">
        <f aca="false">1+$H55-IF($H55&gt;0,MAX(0,$G55-1)*01_ASUMSI!$B$39,0)</f>
        <v>1</v>
      </c>
      <c r="J55" s="38" t="n">
        <f aca="false">1+IFERROR(INDEX(03_FAKTOR!$B$21:$B$25,MATCH(02_MASTER_UNIT!F51,03_FAKTOR!$A$21:$A$25,0)),0)</f>
        <v>1.03</v>
      </c>
      <c r="K55" s="38" t="n">
        <f aca="false">MIN(01_ASUMSI!$B$45,MAX(01_ASUMSI!$B$44,IFERROR((01_ASUMSI!$B$42/$C55)^01_ASUMSI!$B$43,1)))</f>
        <v>0.979462084152654</v>
      </c>
      <c r="L55" s="38" t="n">
        <f aca="false">1+IFERROR(INDEX(03_FAKTOR!$B$29:$B$32,MATCH(02_MASTER_UNIT!G51,03_FAKTOR!$A$29:$A$32,0)),0)</f>
        <v>1.065</v>
      </c>
      <c r="M55" s="38" t="n">
        <f aca="false">1+IFERROR(INDEX(03_FAKTOR!$B$36:$B$39,MATCH(02_MASTER_UNIT!H51,03_FAKTOR!$A$36:$A$39,0)),0)</f>
        <v>1</v>
      </c>
      <c r="N55" s="38" t="n">
        <f aca="false">$G55*$I55*$J55*$K55*$L55*$M55</f>
        <v>1.1453327148032</v>
      </c>
      <c r="O55" s="38" t="n">
        <f aca="false">MIN(01_ASUMSI!$B$32,MAX(01_ASUMSI!$B$31,$N55))</f>
        <v>1.1453327148032</v>
      </c>
      <c r="Q55" s="40" t="n">
        <f aca="false">$E$6*$O55</f>
        <v>212477.225008447</v>
      </c>
      <c r="R55" s="40" t="n">
        <f aca="false">$Q55*$E$7</f>
        <v>195164.930056872</v>
      </c>
      <c r="S55" s="40" t="n">
        <f aca="false">ROUND($R55/01_ASUMSI!$B$23,0)*01_ASUMSI!$B$23</f>
        <v>195000</v>
      </c>
      <c r="T55" s="40" t="n">
        <f aca="false">$S55+01_ASUMSI!$B$22</f>
        <v>257000</v>
      </c>
      <c r="U55" s="40" t="n">
        <f aca="false">$S55*$C55</f>
        <v>81900000</v>
      </c>
      <c r="V55" s="40" t="n">
        <f aca="false">01_ASUMSI!$B$22*$C55</f>
        <v>26040000</v>
      </c>
      <c r="W55" s="40" t="n">
        <f aca="false">$U55+$V55</f>
        <v>107940000</v>
      </c>
      <c r="X55" s="40" t="n">
        <f aca="false">$W55*01_ASUMSI!$B$62</f>
        <v>11873400</v>
      </c>
      <c r="Y55" s="40" t="n">
        <f aca="false">$W55+$X55</f>
        <v>119813400</v>
      </c>
      <c r="Z55" s="40" t="n">
        <f aca="false">$W55*01_ASUMSI!$B$61</f>
        <v>10794000</v>
      </c>
      <c r="AA55" s="40" t="n">
        <f aca="false">$W55-$Z55</f>
        <v>97146000</v>
      </c>
      <c r="AB55" s="34" t="str">
        <f aca="false">02_MASTER_UNIT!I51</f>
        <v>Terisi</v>
      </c>
    </row>
    <row r="56" customFormat="false" ht="15" hidden="false" customHeight="false" outlineLevel="0" collapsed="false">
      <c r="A56" s="34" t="str">
        <f aca="false">02_MASTER_UNIT!B52</f>
        <v>MNS-01-20B</v>
      </c>
      <c r="B56" s="35" t="n">
        <f aca="false">02_MASTER_UNIT!C52</f>
        <v>20</v>
      </c>
      <c r="C56" s="36" t="n">
        <f aca="false">02_MASTER_UNIT!D52</f>
        <v>410</v>
      </c>
      <c r="D56" s="37" t="str">
        <f aca="false">INDEX(03_FAKTOR!$A$6:$A$10,MATCH($B56,03_FAKTOR!$B$6:$B$10,1))</f>
        <v>Tengah</v>
      </c>
      <c r="E56" s="38" t="n">
        <f aca="false">1+INDEX(03_FAKTOR!$D$6:$D$10,MATCH($B56,03_FAKTOR!$B$6:$B$10,1))+INDEX(03_FAKTOR!$E$6:$E$10,MATCH($B56,03_FAKTOR!$B$6:$B$10,1))*($B56-INDEX(03_FAKTOR!$B$6:$B$10,MATCH($B56,03_FAKTOR!$B$6:$B$10,1)))</f>
        <v>1.066</v>
      </c>
      <c r="F56" s="38" t="n">
        <f aca="false">1+01_ASUMSI!$B$36*LN(($B56+01_ASUMSI!$B$38)/(01_ASUMSI!$B$37+01_ASUMSI!$B$38))</f>
        <v>1.0492845720965</v>
      </c>
      <c r="G56" s="38" t="n">
        <f aca="false">IF(01_ASUMSI!$B$35="ZONA",$E56,$F56)</f>
        <v>1.066</v>
      </c>
      <c r="H56" s="39" t="n">
        <f aca="false">IFERROR(INDEX(03_FAKTOR!$B$14:$B$17,MATCH(02_MASTER_UNIT!E52,03_FAKTOR!$A$14:$A$17,0)),0)</f>
        <v>0.03</v>
      </c>
      <c r="I56" s="38" t="n">
        <f aca="false">1+$H56-IF($H56&gt;0,MAX(0,$G56-1)*01_ASUMSI!$B$39,0)</f>
        <v>1.01218</v>
      </c>
      <c r="J56" s="38" t="n">
        <f aca="false">1+IFERROR(INDEX(03_FAKTOR!$B$21:$B$25,MATCH(02_MASTER_UNIT!F52,03_FAKTOR!$A$21:$A$25,0)),0)</f>
        <v>0.975</v>
      </c>
      <c r="K56" s="38" t="n">
        <f aca="false">MIN(01_ASUMSI!$B$45,MAX(01_ASUMSI!$B$44,IFERROR((01_ASUMSI!$B$42/$C56)^01_ASUMSI!$B$43,1)))</f>
        <v>0.980406644835221</v>
      </c>
      <c r="L56" s="38" t="n">
        <f aca="false">1+IFERROR(INDEX(03_FAKTOR!$B$29:$B$32,MATCH(02_MASTER_UNIT!G52,03_FAKTOR!$A$29:$A$32,0)),0)</f>
        <v>1.065</v>
      </c>
      <c r="M56" s="38" t="n">
        <f aca="false">1+IFERROR(INDEX(03_FAKTOR!$B$36:$B$39,MATCH(02_MASTER_UNIT!H52,03_FAKTOR!$A$36:$A$39,0)),0)</f>
        <v>1.02</v>
      </c>
      <c r="N56" s="38" t="n">
        <f aca="false">$G56*$I56*$J56*$K56*$L56*$M56</f>
        <v>1.12040644321639</v>
      </c>
      <c r="O56" s="38" t="n">
        <f aca="false">MIN(01_ASUMSI!$B$32,MAX(01_ASUMSI!$B$31,$N56))</f>
        <v>1.12040644321639</v>
      </c>
      <c r="Q56" s="40" t="n">
        <f aca="false">$E$6*$O56</f>
        <v>207853.00974932</v>
      </c>
      <c r="R56" s="40" t="n">
        <f aca="false">$Q56*$E$7</f>
        <v>190917.488254205</v>
      </c>
      <c r="S56" s="40" t="n">
        <f aca="false">ROUND($R56/01_ASUMSI!$B$23,0)*01_ASUMSI!$B$23</f>
        <v>191000</v>
      </c>
      <c r="T56" s="40" t="n">
        <f aca="false">$S56+01_ASUMSI!$B$22</f>
        <v>253000</v>
      </c>
      <c r="U56" s="40" t="n">
        <f aca="false">$S56*$C56</f>
        <v>78310000</v>
      </c>
      <c r="V56" s="40" t="n">
        <f aca="false">01_ASUMSI!$B$22*$C56</f>
        <v>25420000</v>
      </c>
      <c r="W56" s="40" t="n">
        <f aca="false">$U56+$V56</f>
        <v>103730000</v>
      </c>
      <c r="X56" s="40" t="n">
        <f aca="false">$W56*01_ASUMSI!$B$62</f>
        <v>11410300</v>
      </c>
      <c r="Y56" s="40" t="n">
        <f aca="false">$W56+$X56</f>
        <v>115140300</v>
      </c>
      <c r="Z56" s="40" t="n">
        <f aca="false">$W56*01_ASUMSI!$B$61</f>
        <v>10373000</v>
      </c>
      <c r="AA56" s="40" t="n">
        <f aca="false">$W56-$Z56</f>
        <v>93357000</v>
      </c>
      <c r="AB56" s="34" t="str">
        <f aca="false">02_MASTER_UNIT!I52</f>
        <v>Terisi</v>
      </c>
    </row>
    <row r="57" customFormat="false" ht="15" hidden="false" customHeight="false" outlineLevel="0" collapsed="false">
      <c r="A57" s="34" t="str">
        <f aca="false">02_MASTER_UNIT!B53</f>
        <v>MNS-01-20C</v>
      </c>
      <c r="B57" s="35" t="n">
        <f aca="false">02_MASTER_UNIT!C53</f>
        <v>20</v>
      </c>
      <c r="C57" s="36" t="n">
        <f aca="false">02_MASTER_UNIT!D53</f>
        <v>370</v>
      </c>
      <c r="D57" s="37" t="str">
        <f aca="false">INDEX(03_FAKTOR!$A$6:$A$10,MATCH($B57,03_FAKTOR!$B$6:$B$10,1))</f>
        <v>Tengah</v>
      </c>
      <c r="E57" s="38" t="n">
        <f aca="false">1+INDEX(03_FAKTOR!$D$6:$D$10,MATCH($B57,03_FAKTOR!$B$6:$B$10,1))+INDEX(03_FAKTOR!$E$6:$E$10,MATCH($B57,03_FAKTOR!$B$6:$B$10,1))*($B57-INDEX(03_FAKTOR!$B$6:$B$10,MATCH($B57,03_FAKTOR!$B$6:$B$10,1)))</f>
        <v>1.066</v>
      </c>
      <c r="F57" s="38" t="n">
        <f aca="false">1+01_ASUMSI!$B$36*LN(($B57+01_ASUMSI!$B$38)/(01_ASUMSI!$B$37+01_ASUMSI!$B$38))</f>
        <v>1.0492845720965</v>
      </c>
      <c r="G57" s="38" t="n">
        <f aca="false">IF(01_ASUMSI!$B$35="ZONA",$E57,$F57)</f>
        <v>1.066</v>
      </c>
      <c r="H57" s="39" t="n">
        <f aca="false">IFERROR(INDEX(03_FAKTOR!$B$14:$B$17,MATCH(02_MASTER_UNIT!E53,03_FAKTOR!$A$14:$A$17,0)),0)</f>
        <v>0.03</v>
      </c>
      <c r="I57" s="38" t="n">
        <f aca="false">1+$H57-IF($H57&gt;0,MAX(0,$G57-1)*01_ASUMSI!$B$39,0)</f>
        <v>1.01218</v>
      </c>
      <c r="J57" s="38" t="n">
        <f aca="false">1+IFERROR(INDEX(03_FAKTOR!$B$21:$B$25,MATCH(02_MASTER_UNIT!F53,03_FAKTOR!$A$21:$A$25,0)),0)</f>
        <v>0.985</v>
      </c>
      <c r="K57" s="38" t="n">
        <f aca="false">MIN(01_ASUMSI!$B$45,MAX(01_ASUMSI!$B$44,IFERROR((01_ASUMSI!$B$42/$C57)^01_ASUMSI!$B$43,1)))</f>
        <v>0.984440633872325</v>
      </c>
      <c r="L57" s="38" t="n">
        <f aca="false">1+IFERROR(INDEX(03_FAKTOR!$B$29:$B$32,MATCH(02_MASTER_UNIT!G53,03_FAKTOR!$A$29:$A$32,0)),0)</f>
        <v>1</v>
      </c>
      <c r="M57" s="38" t="n">
        <f aca="false">1+IFERROR(INDEX(03_FAKTOR!$B$36:$B$39,MATCH(02_MASTER_UNIT!H53,03_FAKTOR!$A$36:$A$39,0)),0)</f>
        <v>1.02</v>
      </c>
      <c r="N57" s="38" t="n">
        <f aca="false">$G57*$I57*$J57*$K57*$L57*$M57</f>
        <v>1.06718789396662</v>
      </c>
      <c r="O57" s="38" t="n">
        <f aca="false">MIN(01_ASUMSI!$B$32,MAX(01_ASUMSI!$B$31,$N57))</f>
        <v>1.06718789396662</v>
      </c>
      <c r="Q57" s="40" t="n">
        <f aca="false">$E$6*$O57</f>
        <v>197980.132185082</v>
      </c>
      <c r="R57" s="40" t="n">
        <f aca="false">$Q57*$E$7</f>
        <v>181849.036521518</v>
      </c>
      <c r="S57" s="40" t="n">
        <f aca="false">ROUND($R57/01_ASUMSI!$B$23,0)*01_ASUMSI!$B$23</f>
        <v>182000</v>
      </c>
      <c r="T57" s="40" t="n">
        <f aca="false">$S57+01_ASUMSI!$B$22</f>
        <v>244000</v>
      </c>
      <c r="U57" s="40" t="n">
        <f aca="false">$S57*$C57</f>
        <v>67340000</v>
      </c>
      <c r="V57" s="40" t="n">
        <f aca="false">01_ASUMSI!$B$22*$C57</f>
        <v>22940000</v>
      </c>
      <c r="W57" s="40" t="n">
        <f aca="false">$U57+$V57</f>
        <v>90280000</v>
      </c>
      <c r="X57" s="40" t="n">
        <f aca="false">$W57*01_ASUMSI!$B$62</f>
        <v>9930800</v>
      </c>
      <c r="Y57" s="40" t="n">
        <f aca="false">$W57+$X57</f>
        <v>100210800</v>
      </c>
      <c r="Z57" s="40" t="n">
        <f aca="false">$W57*01_ASUMSI!$B$61</f>
        <v>9028000</v>
      </c>
      <c r="AA57" s="40" t="n">
        <f aca="false">$W57-$Z57</f>
        <v>81252000</v>
      </c>
      <c r="AB57" s="34" t="str">
        <f aca="false">02_MASTER_UNIT!I53</f>
        <v>Terisi</v>
      </c>
    </row>
    <row r="58" customFormat="false" ht="15" hidden="false" customHeight="false" outlineLevel="0" collapsed="false">
      <c r="A58" s="34" t="str">
        <f aca="false">02_MASTER_UNIT!B54</f>
        <v>MNS-01-21A</v>
      </c>
      <c r="B58" s="35" t="n">
        <f aca="false">02_MASTER_UNIT!C54</f>
        <v>21</v>
      </c>
      <c r="C58" s="36" t="n">
        <f aca="false">02_MASTER_UNIT!D54</f>
        <v>630</v>
      </c>
      <c r="D58" s="37" t="str">
        <f aca="false">INDEX(03_FAKTOR!$A$6:$A$10,MATCH($B58,03_FAKTOR!$B$6:$B$10,1))</f>
        <v>Atas</v>
      </c>
      <c r="E58" s="38" t="n">
        <f aca="false">1+INDEX(03_FAKTOR!$D$6:$D$10,MATCH($B58,03_FAKTOR!$B$6:$B$10,1))+INDEX(03_FAKTOR!$E$6:$E$10,MATCH($B58,03_FAKTOR!$B$6:$B$10,1))*($B58-INDEX(03_FAKTOR!$B$6:$B$10,MATCH($B58,03_FAKTOR!$B$6:$B$10,1)))</f>
        <v>1.09</v>
      </c>
      <c r="F58" s="38" t="n">
        <f aca="false">1+01_ASUMSI!$B$36*LN(($B58+01_ASUMSI!$B$38)/(01_ASUMSI!$B$37+01_ASUMSI!$B$38))</f>
        <v>1.05261833271453</v>
      </c>
      <c r="G58" s="38" t="n">
        <f aca="false">IF(01_ASUMSI!$B$35="ZONA",$E58,$F58)</f>
        <v>1.09</v>
      </c>
      <c r="H58" s="39" t="n">
        <f aca="false">IFERROR(INDEX(03_FAKTOR!$B$14:$B$17,MATCH(02_MASTER_UNIT!E54,03_FAKTOR!$A$14:$A$17,0)),0)</f>
        <v>0.03</v>
      </c>
      <c r="I58" s="38" t="n">
        <f aca="false">1+$H58-IF($H58&gt;0,MAX(0,$G58-1)*01_ASUMSI!$B$39,0)</f>
        <v>1.0057</v>
      </c>
      <c r="J58" s="38" t="n">
        <f aca="false">1+IFERROR(INDEX(03_FAKTOR!$B$21:$B$25,MATCH(02_MASTER_UNIT!F54,03_FAKTOR!$A$21:$A$25,0)),0)</f>
        <v>1.03</v>
      </c>
      <c r="K58" s="38" t="n">
        <f aca="false">MIN(01_ASUMSI!$B$45,MAX(01_ASUMSI!$B$44,IFERROR((01_ASUMSI!$B$42/$C58)^01_ASUMSI!$B$43,1)))</f>
        <v>0.963704702929116</v>
      </c>
      <c r="L58" s="38" t="n">
        <f aca="false">1+IFERROR(INDEX(03_FAKTOR!$B$29:$B$32,MATCH(02_MASTER_UNIT!G54,03_FAKTOR!$A$29:$A$32,0)),0)</f>
        <v>1.12</v>
      </c>
      <c r="M58" s="38" t="n">
        <f aca="false">1+IFERROR(INDEX(03_FAKTOR!$B$36:$B$39,MATCH(02_MASTER_UNIT!H54,03_FAKTOR!$A$36:$A$39,0)),0)</f>
        <v>1.02</v>
      </c>
      <c r="N58" s="38" t="n">
        <f aca="false">$G58*$I58*$J58*$K58*$L58*$M58</f>
        <v>1.24306645126915</v>
      </c>
      <c r="O58" s="38" t="n">
        <f aca="false">MIN(01_ASUMSI!$B$32,MAX(01_ASUMSI!$B$31,$N58))</f>
        <v>1.24306645126915</v>
      </c>
      <c r="Q58" s="40" t="n">
        <f aca="false">$E$6*$O58</f>
        <v>230608.369649296</v>
      </c>
      <c r="R58" s="40" t="n">
        <f aca="false">$Q58*$E$7</f>
        <v>211818.778842509</v>
      </c>
      <c r="S58" s="40" t="n">
        <f aca="false">ROUND($R58/01_ASUMSI!$B$23,0)*01_ASUMSI!$B$23</f>
        <v>212000</v>
      </c>
      <c r="T58" s="40" t="n">
        <f aca="false">$S58+01_ASUMSI!$B$22</f>
        <v>274000</v>
      </c>
      <c r="U58" s="40" t="n">
        <f aca="false">$S58*$C58</f>
        <v>133560000</v>
      </c>
      <c r="V58" s="40" t="n">
        <f aca="false">01_ASUMSI!$B$22*$C58</f>
        <v>39060000</v>
      </c>
      <c r="W58" s="40" t="n">
        <f aca="false">$U58+$V58</f>
        <v>172620000</v>
      </c>
      <c r="X58" s="40" t="n">
        <f aca="false">$W58*01_ASUMSI!$B$62</f>
        <v>18988200</v>
      </c>
      <c r="Y58" s="40" t="n">
        <f aca="false">$W58+$X58</f>
        <v>191608200</v>
      </c>
      <c r="Z58" s="40" t="n">
        <f aca="false">$W58*01_ASUMSI!$B$61</f>
        <v>17262000</v>
      </c>
      <c r="AA58" s="40" t="n">
        <f aca="false">$W58-$Z58</f>
        <v>155358000</v>
      </c>
      <c r="AB58" s="34" t="str">
        <f aca="false">02_MASTER_UNIT!I54</f>
        <v>Terisi</v>
      </c>
    </row>
    <row r="59" customFormat="false" ht="15" hidden="false" customHeight="false" outlineLevel="0" collapsed="false">
      <c r="A59" s="34" t="str">
        <f aca="false">02_MASTER_UNIT!B55</f>
        <v>MNS-01-21B</v>
      </c>
      <c r="B59" s="35" t="n">
        <f aca="false">02_MASTER_UNIT!C55</f>
        <v>21</v>
      </c>
      <c r="C59" s="36" t="n">
        <f aca="false">02_MASTER_UNIT!D55</f>
        <v>570</v>
      </c>
      <c r="D59" s="37" t="str">
        <f aca="false">INDEX(03_FAKTOR!$A$6:$A$10,MATCH($B59,03_FAKTOR!$B$6:$B$10,1))</f>
        <v>Atas</v>
      </c>
      <c r="E59" s="38" t="n">
        <f aca="false">1+INDEX(03_FAKTOR!$D$6:$D$10,MATCH($B59,03_FAKTOR!$B$6:$B$10,1))+INDEX(03_FAKTOR!$E$6:$E$10,MATCH($B59,03_FAKTOR!$B$6:$B$10,1))*($B59-INDEX(03_FAKTOR!$B$6:$B$10,MATCH($B59,03_FAKTOR!$B$6:$B$10,1)))</f>
        <v>1.09</v>
      </c>
      <c r="F59" s="38" t="n">
        <f aca="false">1+01_ASUMSI!$B$36*LN(($B59+01_ASUMSI!$B$38)/(01_ASUMSI!$B$37+01_ASUMSI!$B$38))</f>
        <v>1.05261833271453</v>
      </c>
      <c r="G59" s="38" t="n">
        <f aca="false">IF(01_ASUMSI!$B$35="ZONA",$E59,$F59)</f>
        <v>1.09</v>
      </c>
      <c r="H59" s="39" t="n">
        <f aca="false">IFERROR(INDEX(03_FAKTOR!$B$14:$B$17,MATCH(02_MASTER_UNIT!E55,03_FAKTOR!$A$14:$A$17,0)),0)</f>
        <v>0.03</v>
      </c>
      <c r="I59" s="38" t="n">
        <f aca="false">1+$H59-IF($H59&gt;0,MAX(0,$G59-1)*01_ASUMSI!$B$39,0)</f>
        <v>1.0057</v>
      </c>
      <c r="J59" s="38" t="n">
        <f aca="false">1+IFERROR(INDEX(03_FAKTOR!$B$21:$B$25,MATCH(02_MASTER_UNIT!F55,03_FAKTOR!$A$21:$A$25,0)),0)</f>
        <v>1</v>
      </c>
      <c r="K59" s="38" t="n">
        <f aca="false">MIN(01_ASUMSI!$B$45,MAX(01_ASUMSI!$B$44,IFERROR((01_ASUMSI!$B$42/$C59)^01_ASUMSI!$B$43,1)))</f>
        <v>0.967570471744283</v>
      </c>
      <c r="L59" s="38" t="n">
        <f aca="false">1+IFERROR(INDEX(03_FAKTOR!$B$29:$B$32,MATCH(02_MASTER_UNIT!G55,03_FAKTOR!$A$29:$A$32,0)),0)</f>
        <v>1</v>
      </c>
      <c r="M59" s="38" t="n">
        <f aca="false">1+IFERROR(INDEX(03_FAKTOR!$B$36:$B$39,MATCH(02_MASTER_UNIT!H55,03_FAKTOR!$A$36:$A$39,0)),0)</f>
        <v>1</v>
      </c>
      <c r="N59" s="38" t="n">
        <f aca="false">$G59*$I59*$J59*$K59*$L59*$M59</f>
        <v>1.06066332954222</v>
      </c>
      <c r="O59" s="38" t="n">
        <f aca="false">MIN(01_ASUMSI!$B$32,MAX(01_ASUMSI!$B$31,$N59))</f>
        <v>1.06066332954222</v>
      </c>
      <c r="Q59" s="40" t="n">
        <f aca="false">$E$6*$O59</f>
        <v>196769.72290805</v>
      </c>
      <c r="R59" s="40" t="n">
        <f aca="false">$Q59*$E$7</f>
        <v>180737.249402297</v>
      </c>
      <c r="S59" s="40" t="n">
        <f aca="false">ROUND($R59/01_ASUMSI!$B$23,0)*01_ASUMSI!$B$23</f>
        <v>180500</v>
      </c>
      <c r="T59" s="40" t="n">
        <f aca="false">$S59+01_ASUMSI!$B$22</f>
        <v>242500</v>
      </c>
      <c r="U59" s="40" t="n">
        <f aca="false">$S59*$C59</f>
        <v>102885000</v>
      </c>
      <c r="V59" s="40" t="n">
        <f aca="false">01_ASUMSI!$B$22*$C59</f>
        <v>35340000</v>
      </c>
      <c r="W59" s="40" t="n">
        <f aca="false">$U59+$V59</f>
        <v>138225000</v>
      </c>
      <c r="X59" s="40" t="n">
        <f aca="false">$W59*01_ASUMSI!$B$62</f>
        <v>15204750</v>
      </c>
      <c r="Y59" s="40" t="n">
        <f aca="false">$W59+$X59</f>
        <v>153429750</v>
      </c>
      <c r="Z59" s="40" t="n">
        <f aca="false">$W59*01_ASUMSI!$B$61</f>
        <v>13822500</v>
      </c>
      <c r="AA59" s="40" t="n">
        <f aca="false">$W59-$Z59</f>
        <v>124402500</v>
      </c>
      <c r="AB59" s="34" t="str">
        <f aca="false">02_MASTER_UNIT!I55</f>
        <v>Kosong</v>
      </c>
    </row>
    <row r="60" customFormat="false" ht="15" hidden="false" customHeight="false" outlineLevel="0" collapsed="false">
      <c r="A60" s="34" t="str">
        <f aca="false">02_MASTER_UNIT!B56</f>
        <v>MNS-01-22A</v>
      </c>
      <c r="B60" s="35" t="n">
        <f aca="false">02_MASTER_UNIT!C56</f>
        <v>22</v>
      </c>
      <c r="C60" s="36" t="n">
        <f aca="false">02_MASTER_UNIT!D56</f>
        <v>1200</v>
      </c>
      <c r="D60" s="37" t="str">
        <f aca="false">INDEX(03_FAKTOR!$A$6:$A$10,MATCH($B60,03_FAKTOR!$B$6:$B$10,1))</f>
        <v>Atas</v>
      </c>
      <c r="E60" s="38" t="n">
        <f aca="false">1+INDEX(03_FAKTOR!$D$6:$D$10,MATCH($B60,03_FAKTOR!$B$6:$B$10,1))+INDEX(03_FAKTOR!$E$6:$E$10,MATCH($B60,03_FAKTOR!$B$6:$B$10,1))*($B60-INDEX(03_FAKTOR!$B$6:$B$10,MATCH($B60,03_FAKTOR!$B$6:$B$10,1)))</f>
        <v>1.0925</v>
      </c>
      <c r="F60" s="38" t="n">
        <f aca="false">1+01_ASUMSI!$B$36*LN(($B60+01_ASUMSI!$B$38)/(01_ASUMSI!$B$37+01_ASUMSI!$B$38))</f>
        <v>1.05582626059307</v>
      </c>
      <c r="G60" s="38" t="n">
        <f aca="false">IF(01_ASUMSI!$B$35="ZONA",$E60,$F60)</f>
        <v>1.0925</v>
      </c>
      <c r="H60" s="39" t="n">
        <f aca="false">IFERROR(INDEX(03_FAKTOR!$B$14:$B$17,MATCH(02_MASTER_UNIT!E56,03_FAKTOR!$A$14:$A$17,0)),0)</f>
        <v>0.03</v>
      </c>
      <c r="I60" s="38" t="n">
        <f aca="false">1+$H60-IF($H60&gt;0,MAX(0,$G60-1)*01_ASUMSI!$B$39,0)</f>
        <v>1.005025</v>
      </c>
      <c r="J60" s="38" t="n">
        <f aca="false">1+IFERROR(INDEX(03_FAKTOR!$B$21:$B$25,MATCH(02_MASTER_UNIT!F56,03_FAKTOR!$A$21:$A$25,0)),0)</f>
        <v>1.03</v>
      </c>
      <c r="K60" s="38" t="n">
        <f aca="false">MIN(01_ASUMSI!$B$45,MAX(01_ASUMSI!$B$44,IFERROR((01_ASUMSI!$B$42/$C60)^01_ASUMSI!$B$43,1)))</f>
        <v>0.939183275994594</v>
      </c>
      <c r="L60" s="38" t="n">
        <f aca="false">1+IFERROR(INDEX(03_FAKTOR!$B$29:$B$32,MATCH(02_MASTER_UNIT!G56,03_FAKTOR!$A$29:$A$32,0)),0)</f>
        <v>1.12</v>
      </c>
      <c r="M60" s="38" t="n">
        <f aca="false">1+IFERROR(INDEX(03_FAKTOR!$B$36:$B$39,MATCH(02_MASTER_UNIT!H56,03_FAKTOR!$A$36:$A$39,0)),0)</f>
        <v>1.02</v>
      </c>
      <c r="N60" s="38" t="n">
        <f aca="false">$G60*$I60*$J60*$K60*$L60*$M60</f>
        <v>1.21340025046187</v>
      </c>
      <c r="O60" s="38" t="n">
        <f aca="false">MIN(01_ASUMSI!$B$32,MAX(01_ASUMSI!$B$31,$N60))</f>
        <v>1.21340025046187</v>
      </c>
      <c r="Q60" s="40" t="n">
        <f aca="false">$E$6*$O60</f>
        <v>225104.823000708</v>
      </c>
      <c r="R60" s="40" t="n">
        <f aca="false">$Q60*$E$7</f>
        <v>206763.652126251</v>
      </c>
      <c r="S60" s="40" t="n">
        <f aca="false">ROUND($R60/01_ASUMSI!$B$23,0)*01_ASUMSI!$B$23</f>
        <v>207000</v>
      </c>
      <c r="T60" s="40" t="n">
        <f aca="false">$S60+01_ASUMSI!$B$22</f>
        <v>269000</v>
      </c>
      <c r="U60" s="40" t="n">
        <f aca="false">$S60*$C60</f>
        <v>248400000</v>
      </c>
      <c r="V60" s="40" t="n">
        <f aca="false">01_ASUMSI!$B$22*$C60</f>
        <v>74400000</v>
      </c>
      <c r="W60" s="40" t="n">
        <f aca="false">$U60+$V60</f>
        <v>322800000</v>
      </c>
      <c r="X60" s="40" t="n">
        <f aca="false">$W60*01_ASUMSI!$B$62</f>
        <v>35508000</v>
      </c>
      <c r="Y60" s="40" t="n">
        <f aca="false">$W60+$X60</f>
        <v>358308000</v>
      </c>
      <c r="Z60" s="40" t="n">
        <f aca="false">$W60*01_ASUMSI!$B$61</f>
        <v>32280000</v>
      </c>
      <c r="AA60" s="40" t="n">
        <f aca="false">$W60-$Z60</f>
        <v>290520000</v>
      </c>
      <c r="AB60" s="34" t="str">
        <f aca="false">02_MASTER_UNIT!I56</f>
        <v>Terisi</v>
      </c>
    </row>
    <row r="61" customFormat="false" ht="15" hidden="false" customHeight="false" outlineLevel="0" collapsed="false">
      <c r="A61" s="34" t="str">
        <f aca="false">02_MASTER_UNIT!B57</f>
        <v>MNS-01-23A</v>
      </c>
      <c r="B61" s="35" t="n">
        <f aca="false">02_MASTER_UNIT!C57</f>
        <v>23</v>
      </c>
      <c r="C61" s="36" t="n">
        <f aca="false">02_MASTER_UNIT!D57</f>
        <v>1200</v>
      </c>
      <c r="D61" s="37" t="str">
        <f aca="false">INDEX(03_FAKTOR!$A$6:$A$10,MATCH($B61,03_FAKTOR!$B$6:$B$10,1))</f>
        <v>Atas</v>
      </c>
      <c r="E61" s="38" t="n">
        <f aca="false">1+INDEX(03_FAKTOR!$D$6:$D$10,MATCH($B61,03_FAKTOR!$B$6:$B$10,1))+INDEX(03_FAKTOR!$E$6:$E$10,MATCH($B61,03_FAKTOR!$B$6:$B$10,1))*($B61-INDEX(03_FAKTOR!$B$6:$B$10,MATCH($B61,03_FAKTOR!$B$6:$B$10,1)))</f>
        <v>1.095</v>
      </c>
      <c r="F61" s="38" t="n">
        <f aca="false">1+01_ASUMSI!$B$36*LN(($B61+01_ASUMSI!$B$38)/(01_ASUMSI!$B$37+01_ASUMSI!$B$38))</f>
        <v>1.0589175103476</v>
      </c>
      <c r="G61" s="38" t="n">
        <f aca="false">IF(01_ASUMSI!$B$35="ZONA",$E61,$F61)</f>
        <v>1.095</v>
      </c>
      <c r="H61" s="39" t="n">
        <f aca="false">IFERROR(INDEX(03_FAKTOR!$B$14:$B$17,MATCH(02_MASTER_UNIT!E57,03_FAKTOR!$A$14:$A$17,0)),0)</f>
        <v>0.03</v>
      </c>
      <c r="I61" s="38" t="n">
        <f aca="false">1+$H61-IF($H61&gt;0,MAX(0,$G61-1)*01_ASUMSI!$B$39,0)</f>
        <v>1.00435</v>
      </c>
      <c r="J61" s="38" t="n">
        <f aca="false">1+IFERROR(INDEX(03_FAKTOR!$B$21:$B$25,MATCH(02_MASTER_UNIT!F57,03_FAKTOR!$A$21:$A$25,0)),0)</f>
        <v>1.03</v>
      </c>
      <c r="K61" s="38" t="n">
        <f aca="false">MIN(01_ASUMSI!$B$45,MAX(01_ASUMSI!$B$44,IFERROR((01_ASUMSI!$B$42/$C61)^01_ASUMSI!$B$43,1)))</f>
        <v>0.939183275994594</v>
      </c>
      <c r="L61" s="38" t="n">
        <f aca="false">1+IFERROR(INDEX(03_FAKTOR!$B$29:$B$32,MATCH(02_MASTER_UNIT!G57,03_FAKTOR!$A$29:$A$32,0)),0)</f>
        <v>1.065</v>
      </c>
      <c r="M61" s="38" t="n">
        <f aca="false">1+IFERROR(INDEX(03_FAKTOR!$B$36:$B$39,MATCH(02_MASTER_UNIT!H57,03_FAKTOR!$A$36:$A$39,0)),0)</f>
        <v>0.975</v>
      </c>
      <c r="N61" s="38" t="n">
        <f aca="false">$G61*$I61*$J61*$K61*$L61*$M61</f>
        <v>1.10469147304459</v>
      </c>
      <c r="O61" s="38" t="n">
        <f aca="false">MIN(01_ASUMSI!$B$32,MAX(01_ASUMSI!$B$31,$N61))</f>
        <v>1.10469147304459</v>
      </c>
      <c r="Q61" s="40" t="n">
        <f aca="false">$E$6*$O61</f>
        <v>204937.635718666</v>
      </c>
      <c r="R61" s="40" t="n">
        <f aca="false">$Q61*$E$7</f>
        <v>188239.654106289</v>
      </c>
      <c r="S61" s="40" t="n">
        <f aca="false">ROUND($R61/01_ASUMSI!$B$23,0)*01_ASUMSI!$B$23</f>
        <v>188000</v>
      </c>
      <c r="T61" s="40" t="n">
        <f aca="false">$S61+01_ASUMSI!$B$22</f>
        <v>250000</v>
      </c>
      <c r="U61" s="40" t="n">
        <f aca="false">$S61*$C61</f>
        <v>225600000</v>
      </c>
      <c r="V61" s="40" t="n">
        <f aca="false">01_ASUMSI!$B$22*$C61</f>
        <v>74400000</v>
      </c>
      <c r="W61" s="40" t="n">
        <f aca="false">$U61+$V61</f>
        <v>300000000</v>
      </c>
      <c r="X61" s="40" t="n">
        <f aca="false">$W61*01_ASUMSI!$B$62</f>
        <v>33000000</v>
      </c>
      <c r="Y61" s="40" t="n">
        <f aca="false">$W61+$X61</f>
        <v>333000000</v>
      </c>
      <c r="Z61" s="40" t="n">
        <f aca="false">$W61*01_ASUMSI!$B$61</f>
        <v>30000000</v>
      </c>
      <c r="AA61" s="40" t="n">
        <f aca="false">$W61-$Z61</f>
        <v>270000000</v>
      </c>
      <c r="AB61" s="34" t="str">
        <f aca="false">02_MASTER_UNIT!I57</f>
        <v>Terisi</v>
      </c>
    </row>
    <row r="62" customFormat="false" ht="15" hidden="false" customHeight="false" outlineLevel="0" collapsed="false">
      <c r="A62" s="34" t="str">
        <f aca="false">02_MASTER_UNIT!B58</f>
        <v>MNS-01-24A</v>
      </c>
      <c r="B62" s="35" t="n">
        <f aca="false">02_MASTER_UNIT!C58</f>
        <v>24</v>
      </c>
      <c r="C62" s="36" t="n">
        <f aca="false">02_MASTER_UNIT!D58</f>
        <v>585</v>
      </c>
      <c r="D62" s="37" t="str">
        <f aca="false">INDEX(03_FAKTOR!$A$6:$A$10,MATCH($B62,03_FAKTOR!$B$6:$B$10,1))</f>
        <v>Atas</v>
      </c>
      <c r="E62" s="38" t="n">
        <f aca="false">1+INDEX(03_FAKTOR!$D$6:$D$10,MATCH($B62,03_FAKTOR!$B$6:$B$10,1))+INDEX(03_FAKTOR!$E$6:$E$10,MATCH($B62,03_FAKTOR!$B$6:$B$10,1))*($B62-INDEX(03_FAKTOR!$B$6:$B$10,MATCH($B62,03_FAKTOR!$B$6:$B$10,1)))</f>
        <v>1.0975</v>
      </c>
      <c r="F62" s="38" t="n">
        <f aca="false">1+01_ASUMSI!$B$36*LN(($B62+01_ASUMSI!$B$38)/(01_ASUMSI!$B$37+01_ASUMSI!$B$38))</f>
        <v>1.06190027253155</v>
      </c>
      <c r="G62" s="38" t="n">
        <f aca="false">IF(01_ASUMSI!$B$35="ZONA",$E62,$F62)</f>
        <v>1.0975</v>
      </c>
      <c r="H62" s="39" t="n">
        <f aca="false">IFERROR(INDEX(03_FAKTOR!$B$14:$B$17,MATCH(02_MASTER_UNIT!E58,03_FAKTOR!$A$14:$A$17,0)),0)</f>
        <v>0.03</v>
      </c>
      <c r="I62" s="38" t="n">
        <f aca="false">1+$H62-IF($H62&gt;0,MAX(0,$G62-1)*01_ASUMSI!$B$39,0)</f>
        <v>1.003675</v>
      </c>
      <c r="J62" s="38" t="n">
        <f aca="false">1+IFERROR(INDEX(03_FAKTOR!$B$21:$B$25,MATCH(02_MASTER_UNIT!F58,03_FAKTOR!$A$21:$A$25,0)),0)</f>
        <v>1.03</v>
      </c>
      <c r="K62" s="38" t="n">
        <f aca="false">MIN(01_ASUMSI!$B$45,MAX(01_ASUMSI!$B$44,IFERROR((01_ASUMSI!$B$42/$C62)^01_ASUMSI!$B$43,1)))</f>
        <v>0.966565669294006</v>
      </c>
      <c r="L62" s="38" t="n">
        <f aca="false">1+IFERROR(INDEX(03_FAKTOR!$B$29:$B$32,MATCH(02_MASTER_UNIT!G58,03_FAKTOR!$A$29:$A$32,0)),0)</f>
        <v>1</v>
      </c>
      <c r="M62" s="38" t="n">
        <f aca="false">1+IFERROR(INDEX(03_FAKTOR!$B$36:$B$39,MATCH(02_MASTER_UNIT!H58,03_FAKTOR!$A$36:$A$39,0)),0)</f>
        <v>1</v>
      </c>
      <c r="N62" s="38" t="n">
        <f aca="false">$G62*$I62*$J62*$K62*$L62*$M62</f>
        <v>1.09664541194959</v>
      </c>
      <c r="O62" s="38" t="n">
        <f aca="false">MIN(01_ASUMSI!$B$32,MAX(01_ASUMSI!$B$31,$N62))</f>
        <v>1.09664541194959</v>
      </c>
      <c r="Q62" s="40" t="n">
        <f aca="false">$E$6*$O62</f>
        <v>203444.964888944</v>
      </c>
      <c r="R62" s="40" t="n">
        <f aca="false">$Q62*$E$7</f>
        <v>186868.603641614</v>
      </c>
      <c r="S62" s="40" t="n">
        <f aca="false">ROUND($R62/01_ASUMSI!$B$23,0)*01_ASUMSI!$B$23</f>
        <v>187000</v>
      </c>
      <c r="T62" s="40" t="n">
        <f aca="false">$S62+01_ASUMSI!$B$22</f>
        <v>249000</v>
      </c>
      <c r="U62" s="40" t="n">
        <f aca="false">$S62*$C62</f>
        <v>109395000</v>
      </c>
      <c r="V62" s="40" t="n">
        <f aca="false">01_ASUMSI!$B$22*$C62</f>
        <v>36270000</v>
      </c>
      <c r="W62" s="40" t="n">
        <f aca="false">$U62+$V62</f>
        <v>145665000</v>
      </c>
      <c r="X62" s="40" t="n">
        <f aca="false">$W62*01_ASUMSI!$B$62</f>
        <v>16023150</v>
      </c>
      <c r="Y62" s="40" t="n">
        <f aca="false">$W62+$X62</f>
        <v>161688150</v>
      </c>
      <c r="Z62" s="40" t="n">
        <f aca="false">$W62*01_ASUMSI!$B$61</f>
        <v>14566500</v>
      </c>
      <c r="AA62" s="40" t="n">
        <f aca="false">$W62-$Z62</f>
        <v>131098500</v>
      </c>
      <c r="AB62" s="34" t="str">
        <f aca="false">02_MASTER_UNIT!I58</f>
        <v>Terisi</v>
      </c>
    </row>
    <row r="63" customFormat="false" ht="15" hidden="false" customHeight="false" outlineLevel="0" collapsed="false">
      <c r="A63" s="34" t="str">
        <f aca="false">02_MASTER_UNIT!B59</f>
        <v>MNS-01-24B</v>
      </c>
      <c r="B63" s="35" t="n">
        <f aca="false">02_MASTER_UNIT!C59</f>
        <v>24</v>
      </c>
      <c r="C63" s="36" t="n">
        <f aca="false">02_MASTER_UNIT!D59</f>
        <v>615</v>
      </c>
      <c r="D63" s="37" t="str">
        <f aca="false">INDEX(03_FAKTOR!$A$6:$A$10,MATCH($B63,03_FAKTOR!$B$6:$B$10,1))</f>
        <v>Atas</v>
      </c>
      <c r="E63" s="38" t="n">
        <f aca="false">1+INDEX(03_FAKTOR!$D$6:$D$10,MATCH($B63,03_FAKTOR!$B$6:$B$10,1))+INDEX(03_FAKTOR!$E$6:$E$10,MATCH($B63,03_FAKTOR!$B$6:$B$10,1))*($B63-INDEX(03_FAKTOR!$B$6:$B$10,MATCH($B63,03_FAKTOR!$B$6:$B$10,1)))</f>
        <v>1.0975</v>
      </c>
      <c r="F63" s="38" t="n">
        <f aca="false">1+01_ASUMSI!$B$36*LN(($B63+01_ASUMSI!$B$38)/(01_ASUMSI!$B$37+01_ASUMSI!$B$38))</f>
        <v>1.06190027253155</v>
      </c>
      <c r="G63" s="38" t="n">
        <f aca="false">IF(01_ASUMSI!$B$35="ZONA",$E63,$F63)</f>
        <v>1.0975</v>
      </c>
      <c r="H63" s="39" t="n">
        <f aca="false">IFERROR(INDEX(03_FAKTOR!$B$14:$B$17,MATCH(02_MASTER_UNIT!E59,03_FAKTOR!$A$14:$A$17,0)),0)</f>
        <v>0.03</v>
      </c>
      <c r="I63" s="38" t="n">
        <f aca="false">1+$H63-IF($H63&gt;0,MAX(0,$G63-1)*01_ASUMSI!$B$39,0)</f>
        <v>1.003675</v>
      </c>
      <c r="J63" s="38" t="n">
        <f aca="false">1+IFERROR(INDEX(03_FAKTOR!$B$21:$B$25,MATCH(02_MASTER_UNIT!F59,03_FAKTOR!$A$21:$A$25,0)),0)</f>
        <v>0.985</v>
      </c>
      <c r="K63" s="38" t="n">
        <f aca="false">MIN(01_ASUMSI!$B$45,MAX(01_ASUMSI!$B$44,IFERROR((01_ASUMSI!$B$42/$C63)^01_ASUMSI!$B$43,1)))</f>
        <v>0.96463406771691</v>
      </c>
      <c r="L63" s="38" t="n">
        <f aca="false">1+IFERROR(INDEX(03_FAKTOR!$B$29:$B$32,MATCH(02_MASTER_UNIT!G59,03_FAKTOR!$A$29:$A$32,0)),0)</f>
        <v>1.065</v>
      </c>
      <c r="M63" s="38" t="n">
        <f aca="false">1+IFERROR(INDEX(03_FAKTOR!$B$36:$B$39,MATCH(02_MASTER_UNIT!H59,03_FAKTOR!$A$36:$A$39,0)),0)</f>
        <v>1</v>
      </c>
      <c r="N63" s="38" t="n">
        <f aca="false">$G63*$I63*$J63*$K63*$L63*$M63</f>
        <v>1.11466937581472</v>
      </c>
      <c r="O63" s="38" t="n">
        <f aca="false">MIN(01_ASUMSI!$B$32,MAX(01_ASUMSI!$B$31,$N63))</f>
        <v>1.11466937581472</v>
      </c>
      <c r="Q63" s="40" t="n">
        <f aca="false">$E$6*$O63</f>
        <v>206788.693550683</v>
      </c>
      <c r="R63" s="40" t="n">
        <f aca="false">$Q63*$E$7</f>
        <v>189939.89078955</v>
      </c>
      <c r="S63" s="40" t="n">
        <f aca="false">ROUND($R63/01_ASUMSI!$B$23,0)*01_ASUMSI!$B$23</f>
        <v>190000</v>
      </c>
      <c r="T63" s="40" t="n">
        <f aca="false">$S63+01_ASUMSI!$B$22</f>
        <v>252000</v>
      </c>
      <c r="U63" s="40" t="n">
        <f aca="false">$S63*$C63</f>
        <v>116850000</v>
      </c>
      <c r="V63" s="40" t="n">
        <f aca="false">01_ASUMSI!$B$22*$C63</f>
        <v>38130000</v>
      </c>
      <c r="W63" s="40" t="n">
        <f aca="false">$U63+$V63</f>
        <v>154980000</v>
      </c>
      <c r="X63" s="40" t="n">
        <f aca="false">$W63*01_ASUMSI!$B$62</f>
        <v>17047800</v>
      </c>
      <c r="Y63" s="40" t="n">
        <f aca="false">$W63+$X63</f>
        <v>172027800</v>
      </c>
      <c r="Z63" s="40" t="n">
        <f aca="false">$W63*01_ASUMSI!$B$61</f>
        <v>15498000</v>
      </c>
      <c r="AA63" s="40" t="n">
        <f aca="false">$W63-$Z63</f>
        <v>139482000</v>
      </c>
      <c r="AB63" s="34" t="str">
        <f aca="false">02_MASTER_UNIT!I59</f>
        <v>Terisi</v>
      </c>
    </row>
    <row r="64" customFormat="false" ht="15" hidden="false" customHeight="false" outlineLevel="0" collapsed="false">
      <c r="A64" s="34" t="str">
        <f aca="false">02_MASTER_UNIT!B60</f>
        <v>MNS-01-25A</v>
      </c>
      <c r="B64" s="35" t="n">
        <f aca="false">02_MASTER_UNIT!C60</f>
        <v>25</v>
      </c>
      <c r="C64" s="36" t="n">
        <f aca="false">02_MASTER_UNIT!D60</f>
        <v>570</v>
      </c>
      <c r="D64" s="37" t="str">
        <f aca="false">INDEX(03_FAKTOR!$A$6:$A$10,MATCH($B64,03_FAKTOR!$B$6:$B$10,1))</f>
        <v>Atas</v>
      </c>
      <c r="E64" s="38" t="n">
        <f aca="false">1+INDEX(03_FAKTOR!$D$6:$D$10,MATCH($B64,03_FAKTOR!$B$6:$B$10,1))+INDEX(03_FAKTOR!$E$6:$E$10,MATCH($B64,03_FAKTOR!$B$6:$B$10,1))*($B64-INDEX(03_FAKTOR!$B$6:$B$10,MATCH($B64,03_FAKTOR!$B$6:$B$10,1)))</f>
        <v>1.1</v>
      </c>
      <c r="F64" s="38" t="n">
        <f aca="false">1+01_ASUMSI!$B$36*LN(($B64+01_ASUMSI!$B$38)/(01_ASUMSI!$B$37+01_ASUMSI!$B$38))</f>
        <v>1.06478190442399</v>
      </c>
      <c r="G64" s="38" t="n">
        <f aca="false">IF(01_ASUMSI!$B$35="ZONA",$E64,$F64)</f>
        <v>1.1</v>
      </c>
      <c r="H64" s="39" t="n">
        <f aca="false">IFERROR(INDEX(03_FAKTOR!$B$14:$B$17,MATCH(02_MASTER_UNIT!E60,03_FAKTOR!$A$14:$A$17,0)),0)</f>
        <v>0.03</v>
      </c>
      <c r="I64" s="38" t="n">
        <f aca="false">1+$H64-IF($H64&gt;0,MAX(0,$G64-1)*01_ASUMSI!$B$39,0)</f>
        <v>1.003</v>
      </c>
      <c r="J64" s="38" t="n">
        <f aca="false">1+IFERROR(INDEX(03_FAKTOR!$B$21:$B$25,MATCH(02_MASTER_UNIT!F60,03_FAKTOR!$A$21:$A$25,0)),0)</f>
        <v>1.03</v>
      </c>
      <c r="K64" s="38" t="n">
        <f aca="false">MIN(01_ASUMSI!$B$45,MAX(01_ASUMSI!$B$44,IFERROR((01_ASUMSI!$B$42/$C64)^01_ASUMSI!$B$43,1)))</f>
        <v>0.967570471744283</v>
      </c>
      <c r="L64" s="38" t="n">
        <f aca="false">1+IFERROR(INDEX(03_FAKTOR!$B$29:$B$32,MATCH(02_MASTER_UNIT!G60,03_FAKTOR!$A$29:$A$32,0)),0)</f>
        <v>1</v>
      </c>
      <c r="M64" s="38" t="n">
        <f aca="false">1+IFERROR(INDEX(03_FAKTOR!$B$36:$B$39,MATCH(02_MASTER_UNIT!H60,03_FAKTOR!$A$36:$A$39,0)),0)</f>
        <v>1.02</v>
      </c>
      <c r="N64" s="38" t="n">
        <f aca="false">$G64*$I64*$J64*$K64*$L64*$M64</f>
        <v>1.12153703885013</v>
      </c>
      <c r="O64" s="38" t="n">
        <f aca="false">MIN(01_ASUMSI!$B$32,MAX(01_ASUMSI!$B$31,$N64))</f>
        <v>1.12153703885013</v>
      </c>
      <c r="Q64" s="40" t="n">
        <f aca="false">$E$6*$O64</f>
        <v>208062.7530141</v>
      </c>
      <c r="R64" s="40" t="n">
        <f aca="false">$Q64*$E$7</f>
        <v>191110.141982618</v>
      </c>
      <c r="S64" s="40" t="n">
        <f aca="false">ROUND($R64/01_ASUMSI!$B$23,0)*01_ASUMSI!$B$23</f>
        <v>191000</v>
      </c>
      <c r="T64" s="40" t="n">
        <f aca="false">$S64+01_ASUMSI!$B$22</f>
        <v>253000</v>
      </c>
      <c r="U64" s="40" t="n">
        <f aca="false">$S64*$C64</f>
        <v>108870000</v>
      </c>
      <c r="V64" s="40" t="n">
        <f aca="false">01_ASUMSI!$B$22*$C64</f>
        <v>35340000</v>
      </c>
      <c r="W64" s="40" t="n">
        <f aca="false">$U64+$V64</f>
        <v>144210000</v>
      </c>
      <c r="X64" s="40" t="n">
        <f aca="false">$W64*01_ASUMSI!$B$62</f>
        <v>15863100</v>
      </c>
      <c r="Y64" s="40" t="n">
        <f aca="false">$W64+$X64</f>
        <v>160073100</v>
      </c>
      <c r="Z64" s="40" t="n">
        <f aca="false">$W64*01_ASUMSI!$B$61</f>
        <v>14421000</v>
      </c>
      <c r="AA64" s="40" t="n">
        <f aca="false">$W64-$Z64</f>
        <v>129789000</v>
      </c>
      <c r="AB64" s="34" t="str">
        <f aca="false">02_MASTER_UNIT!I60</f>
        <v>Terisi</v>
      </c>
    </row>
    <row r="65" customFormat="false" ht="15" hidden="false" customHeight="false" outlineLevel="0" collapsed="false">
      <c r="A65" s="34" t="str">
        <f aca="false">02_MASTER_UNIT!B61</f>
        <v>MNS-01-25B</v>
      </c>
      <c r="B65" s="35" t="n">
        <f aca="false">02_MASTER_UNIT!C61</f>
        <v>25</v>
      </c>
      <c r="C65" s="36" t="n">
        <f aca="false">02_MASTER_UNIT!D61</f>
        <v>630</v>
      </c>
      <c r="D65" s="37" t="str">
        <f aca="false">INDEX(03_FAKTOR!$A$6:$A$10,MATCH($B65,03_FAKTOR!$B$6:$B$10,1))</f>
        <v>Atas</v>
      </c>
      <c r="E65" s="38" t="n">
        <f aca="false">1+INDEX(03_FAKTOR!$D$6:$D$10,MATCH($B65,03_FAKTOR!$B$6:$B$10,1))+INDEX(03_FAKTOR!$E$6:$E$10,MATCH($B65,03_FAKTOR!$B$6:$B$10,1))*($B65-INDEX(03_FAKTOR!$B$6:$B$10,MATCH($B65,03_FAKTOR!$B$6:$B$10,1)))</f>
        <v>1.1</v>
      </c>
      <c r="F65" s="38" t="n">
        <f aca="false">1+01_ASUMSI!$B$36*LN(($B65+01_ASUMSI!$B$38)/(01_ASUMSI!$B$37+01_ASUMSI!$B$38))</f>
        <v>1.06478190442399</v>
      </c>
      <c r="G65" s="38" t="n">
        <f aca="false">IF(01_ASUMSI!$B$35="ZONA",$E65,$F65)</f>
        <v>1.1</v>
      </c>
      <c r="H65" s="39" t="n">
        <f aca="false">IFERROR(INDEX(03_FAKTOR!$B$14:$B$17,MATCH(02_MASTER_UNIT!E61,03_FAKTOR!$A$14:$A$17,0)),0)</f>
        <v>0.03</v>
      </c>
      <c r="I65" s="38" t="n">
        <f aca="false">1+$H65-IF($H65&gt;0,MAX(0,$G65-1)*01_ASUMSI!$B$39,0)</f>
        <v>1.003</v>
      </c>
      <c r="J65" s="38" t="n">
        <f aca="false">1+IFERROR(INDEX(03_FAKTOR!$B$21:$B$25,MATCH(02_MASTER_UNIT!F61,03_FAKTOR!$A$21:$A$25,0)),0)</f>
        <v>1.03</v>
      </c>
      <c r="K65" s="38" t="n">
        <f aca="false">MIN(01_ASUMSI!$B$45,MAX(01_ASUMSI!$B$44,IFERROR((01_ASUMSI!$B$42/$C65)^01_ASUMSI!$B$43,1)))</f>
        <v>0.963704702929116</v>
      </c>
      <c r="L65" s="38" t="n">
        <f aca="false">1+IFERROR(INDEX(03_FAKTOR!$B$29:$B$32,MATCH(02_MASTER_UNIT!G61,03_FAKTOR!$A$29:$A$32,0)),0)</f>
        <v>1.12</v>
      </c>
      <c r="M65" s="38" t="n">
        <f aca="false">1+IFERROR(INDEX(03_FAKTOR!$B$36:$B$39,MATCH(02_MASTER_UNIT!H61,03_FAKTOR!$A$36:$A$39,0)),0)</f>
        <v>1</v>
      </c>
      <c r="N65" s="38" t="n">
        <f aca="false">$G65*$I65*$J65*$K65*$L65*$M65</f>
        <v>1.22657142798842</v>
      </c>
      <c r="O65" s="38" t="n">
        <f aca="false">MIN(01_ASUMSI!$B$32,MAX(01_ASUMSI!$B$31,$N65))</f>
        <v>1.22657142798842</v>
      </c>
      <c r="Q65" s="40" t="n">
        <f aca="false">$E$6*$O65</f>
        <v>227548.283503287</v>
      </c>
      <c r="R65" s="40" t="n">
        <f aca="false">$Q65*$E$7</f>
        <v>209008.023484469</v>
      </c>
      <c r="S65" s="40" t="n">
        <f aca="false">ROUND($R65/01_ASUMSI!$B$23,0)*01_ASUMSI!$B$23</f>
        <v>209000</v>
      </c>
      <c r="T65" s="40" t="n">
        <f aca="false">$S65+01_ASUMSI!$B$22</f>
        <v>271000</v>
      </c>
      <c r="U65" s="40" t="n">
        <f aca="false">$S65*$C65</f>
        <v>131670000</v>
      </c>
      <c r="V65" s="40" t="n">
        <f aca="false">01_ASUMSI!$B$22*$C65</f>
        <v>39060000</v>
      </c>
      <c r="W65" s="40" t="n">
        <f aca="false">$U65+$V65</f>
        <v>170730000</v>
      </c>
      <c r="X65" s="40" t="n">
        <f aca="false">$W65*01_ASUMSI!$B$62</f>
        <v>18780300</v>
      </c>
      <c r="Y65" s="40" t="n">
        <f aca="false">$W65+$X65</f>
        <v>189510300</v>
      </c>
      <c r="Z65" s="40" t="n">
        <f aca="false">$W65*01_ASUMSI!$B$61</f>
        <v>17073000</v>
      </c>
      <c r="AA65" s="40" t="n">
        <f aca="false">$W65-$Z65</f>
        <v>153657000</v>
      </c>
      <c r="AB65" s="34" t="str">
        <f aca="false">02_MASTER_UNIT!I61</f>
        <v>Terisi</v>
      </c>
    </row>
    <row r="66" customFormat="false" ht="15" hidden="false" customHeight="false" outlineLevel="0" collapsed="false">
      <c r="A66" s="34" t="str">
        <f aca="false">02_MASTER_UNIT!B62</f>
        <v>MNS-01-26A</v>
      </c>
      <c r="B66" s="35" t="n">
        <f aca="false">02_MASTER_UNIT!C62</f>
        <v>26</v>
      </c>
      <c r="C66" s="36" t="n">
        <f aca="false">02_MASTER_UNIT!D62</f>
        <v>605</v>
      </c>
      <c r="D66" s="37" t="str">
        <f aca="false">INDEX(03_FAKTOR!$A$6:$A$10,MATCH($B66,03_FAKTOR!$B$6:$B$10,1))</f>
        <v>Atas</v>
      </c>
      <c r="E66" s="38" t="n">
        <f aca="false">1+INDEX(03_FAKTOR!$D$6:$D$10,MATCH($B66,03_FAKTOR!$B$6:$B$10,1))+INDEX(03_FAKTOR!$E$6:$E$10,MATCH($B66,03_FAKTOR!$B$6:$B$10,1))*($B66-INDEX(03_FAKTOR!$B$6:$B$10,MATCH($B66,03_FAKTOR!$B$6:$B$10,1)))</f>
        <v>1.1025</v>
      </c>
      <c r="F66" s="38" t="n">
        <f aca="false">1+01_ASUMSI!$B$36*LN(($B66+01_ASUMSI!$B$38)/(01_ASUMSI!$B$37+01_ASUMSI!$B$38))</f>
        <v>1.06756903936394</v>
      </c>
      <c r="G66" s="38" t="n">
        <f aca="false">IF(01_ASUMSI!$B$35="ZONA",$E66,$F66)</f>
        <v>1.1025</v>
      </c>
      <c r="H66" s="39" t="n">
        <f aca="false">IFERROR(INDEX(03_FAKTOR!$B$14:$B$17,MATCH(02_MASTER_UNIT!E62,03_FAKTOR!$A$14:$A$17,0)),0)</f>
        <v>0.03</v>
      </c>
      <c r="I66" s="38" t="n">
        <f aca="false">1+$H66-IF($H66&gt;0,MAX(0,$G66-1)*01_ASUMSI!$B$39,0)</f>
        <v>1.002325</v>
      </c>
      <c r="J66" s="38" t="n">
        <f aca="false">1+IFERROR(INDEX(03_FAKTOR!$B$21:$B$25,MATCH(02_MASTER_UNIT!F62,03_FAKTOR!$A$21:$A$25,0)),0)</f>
        <v>1.03</v>
      </c>
      <c r="K66" s="38" t="n">
        <f aca="false">MIN(01_ASUMSI!$B$45,MAX(01_ASUMSI!$B$44,IFERROR((01_ASUMSI!$B$42/$C66)^01_ASUMSI!$B$43,1)))</f>
        <v>0.965266836260349</v>
      </c>
      <c r="L66" s="38" t="n">
        <f aca="false">1+IFERROR(INDEX(03_FAKTOR!$B$29:$B$32,MATCH(02_MASTER_UNIT!G62,03_FAKTOR!$A$29:$A$32,0)),0)</f>
        <v>1.035</v>
      </c>
      <c r="M66" s="38" t="n">
        <f aca="false">1+IFERROR(INDEX(03_FAKTOR!$B$36:$B$39,MATCH(02_MASTER_UNIT!H62,03_FAKTOR!$A$36:$A$39,0)),0)</f>
        <v>1</v>
      </c>
      <c r="N66" s="38" t="n">
        <f aca="false">$G66*$I66*$J66*$K66*$L66*$M66</f>
        <v>1.13713524542923</v>
      </c>
      <c r="O66" s="38" t="n">
        <f aca="false">MIN(01_ASUMSI!$B$32,MAX(01_ASUMSI!$B$31,$N66))</f>
        <v>1.13713524542923</v>
      </c>
      <c r="Q66" s="40" t="n">
        <f aca="false">$E$6*$O66</f>
        <v>210956.465562603</v>
      </c>
      <c r="R66" s="40" t="n">
        <f aca="false">$Q66*$E$7</f>
        <v>193768.079590335</v>
      </c>
      <c r="S66" s="40" t="n">
        <f aca="false">ROUND($R66/01_ASUMSI!$B$23,0)*01_ASUMSI!$B$23</f>
        <v>194000</v>
      </c>
      <c r="T66" s="40" t="n">
        <f aca="false">$S66+01_ASUMSI!$B$22</f>
        <v>256000</v>
      </c>
      <c r="U66" s="40" t="n">
        <f aca="false">$S66*$C66</f>
        <v>117370000</v>
      </c>
      <c r="V66" s="40" t="n">
        <f aca="false">01_ASUMSI!$B$22*$C66</f>
        <v>37510000</v>
      </c>
      <c r="W66" s="40" t="n">
        <f aca="false">$U66+$V66</f>
        <v>154880000</v>
      </c>
      <c r="X66" s="40" t="n">
        <f aca="false">$W66*01_ASUMSI!$B$62</f>
        <v>17036800</v>
      </c>
      <c r="Y66" s="40" t="n">
        <f aca="false">$W66+$X66</f>
        <v>171916800</v>
      </c>
      <c r="Z66" s="40" t="n">
        <f aca="false">$W66*01_ASUMSI!$B$61</f>
        <v>15488000</v>
      </c>
      <c r="AA66" s="40" t="n">
        <f aca="false">$W66-$Z66</f>
        <v>139392000</v>
      </c>
      <c r="AB66" s="34" t="str">
        <f aca="false">02_MASTER_UNIT!I62</f>
        <v>Terisi</v>
      </c>
    </row>
    <row r="67" customFormat="false" ht="15" hidden="false" customHeight="false" outlineLevel="0" collapsed="false">
      <c r="A67" s="34" t="str">
        <f aca="false">02_MASTER_UNIT!B63</f>
        <v>MNS-01-26B</v>
      </c>
      <c r="B67" s="35" t="n">
        <f aca="false">02_MASTER_UNIT!C63</f>
        <v>26</v>
      </c>
      <c r="C67" s="36" t="n">
        <f aca="false">02_MASTER_UNIT!D63</f>
        <v>595</v>
      </c>
      <c r="D67" s="37" t="str">
        <f aca="false">INDEX(03_FAKTOR!$A$6:$A$10,MATCH($B67,03_FAKTOR!$B$6:$B$10,1))</f>
        <v>Atas</v>
      </c>
      <c r="E67" s="38" t="n">
        <f aca="false">1+INDEX(03_FAKTOR!$D$6:$D$10,MATCH($B67,03_FAKTOR!$B$6:$B$10,1))+INDEX(03_FAKTOR!$E$6:$E$10,MATCH($B67,03_FAKTOR!$B$6:$B$10,1))*($B67-INDEX(03_FAKTOR!$B$6:$B$10,MATCH($B67,03_FAKTOR!$B$6:$B$10,1)))</f>
        <v>1.1025</v>
      </c>
      <c r="F67" s="38" t="n">
        <f aca="false">1+01_ASUMSI!$B$36*LN(($B67+01_ASUMSI!$B$38)/(01_ASUMSI!$B$37+01_ASUMSI!$B$38))</f>
        <v>1.06756903936394</v>
      </c>
      <c r="G67" s="38" t="n">
        <f aca="false">IF(01_ASUMSI!$B$35="ZONA",$E67,$F67)</f>
        <v>1.1025</v>
      </c>
      <c r="H67" s="39" t="n">
        <f aca="false">IFERROR(INDEX(03_FAKTOR!$B$14:$B$17,MATCH(02_MASTER_UNIT!E63,03_FAKTOR!$A$14:$A$17,0)),0)</f>
        <v>0.03</v>
      </c>
      <c r="I67" s="38" t="n">
        <f aca="false">1+$H67-IF($H67&gt;0,MAX(0,$G67-1)*01_ASUMSI!$B$39,0)</f>
        <v>1.002325</v>
      </c>
      <c r="J67" s="38" t="n">
        <f aca="false">1+IFERROR(INDEX(03_FAKTOR!$B$21:$B$25,MATCH(02_MASTER_UNIT!F63,03_FAKTOR!$A$21:$A$25,0)),0)</f>
        <v>0.985</v>
      </c>
      <c r="K67" s="38" t="n">
        <f aca="false">MIN(01_ASUMSI!$B$45,MAX(01_ASUMSI!$B$44,IFERROR((01_ASUMSI!$B$42/$C67)^01_ASUMSI!$B$43,1)))</f>
        <v>0.965910576942588</v>
      </c>
      <c r="L67" s="38" t="n">
        <f aca="false">1+IFERROR(INDEX(03_FAKTOR!$B$29:$B$32,MATCH(02_MASTER_UNIT!G63,03_FAKTOR!$A$29:$A$32,0)),0)</f>
        <v>1.035</v>
      </c>
      <c r="M67" s="38" t="n">
        <f aca="false">1+IFERROR(INDEX(03_FAKTOR!$B$36:$B$39,MATCH(02_MASTER_UNIT!H63,03_FAKTOR!$A$36:$A$39,0)),0)</f>
        <v>1.02</v>
      </c>
      <c r="N67" s="38" t="n">
        <f aca="false">$G67*$I67*$J67*$K67*$L67*$M67</f>
        <v>1.10994340374206</v>
      </c>
      <c r="O67" s="38" t="n">
        <f aca="false">MIN(01_ASUMSI!$B$32,MAX(01_ASUMSI!$B$31,$N67))</f>
        <v>1.10994340374206</v>
      </c>
      <c r="Q67" s="40" t="n">
        <f aca="false">$E$6*$O67</f>
        <v>205911.951431569</v>
      </c>
      <c r="R67" s="40" t="n">
        <f aca="false">$Q67*$E$7</f>
        <v>189134.584176815</v>
      </c>
      <c r="S67" s="40" t="n">
        <f aca="false">ROUND($R67/01_ASUMSI!$B$23,0)*01_ASUMSI!$B$23</f>
        <v>189000</v>
      </c>
      <c r="T67" s="40" t="n">
        <f aca="false">$S67+01_ASUMSI!$B$22</f>
        <v>251000</v>
      </c>
      <c r="U67" s="40" t="n">
        <f aca="false">$S67*$C67</f>
        <v>112455000</v>
      </c>
      <c r="V67" s="40" t="n">
        <f aca="false">01_ASUMSI!$B$22*$C67</f>
        <v>36890000</v>
      </c>
      <c r="W67" s="40" t="n">
        <f aca="false">$U67+$V67</f>
        <v>149345000</v>
      </c>
      <c r="X67" s="40" t="n">
        <f aca="false">$W67*01_ASUMSI!$B$62</f>
        <v>16427950</v>
      </c>
      <c r="Y67" s="40" t="n">
        <f aca="false">$W67+$X67</f>
        <v>165772950</v>
      </c>
      <c r="Z67" s="40" t="n">
        <f aca="false">$W67*01_ASUMSI!$B$61</f>
        <v>14934500</v>
      </c>
      <c r="AA67" s="40" t="n">
        <f aca="false">$W67-$Z67</f>
        <v>134410500</v>
      </c>
      <c r="AB67" s="34" t="str">
        <f aca="false">02_MASTER_UNIT!I63</f>
        <v>Terisi</v>
      </c>
    </row>
    <row r="68" customFormat="false" ht="15" hidden="false" customHeight="false" outlineLevel="0" collapsed="false">
      <c r="A68" s="34" t="str">
        <f aca="false">02_MASTER_UNIT!B64</f>
        <v>MNS-01-27A</v>
      </c>
      <c r="B68" s="35" t="n">
        <f aca="false">02_MASTER_UNIT!C64</f>
        <v>27</v>
      </c>
      <c r="C68" s="36" t="n">
        <f aca="false">02_MASTER_UNIT!D64</f>
        <v>575</v>
      </c>
      <c r="D68" s="37" t="str">
        <f aca="false">INDEX(03_FAKTOR!$A$6:$A$10,MATCH($B68,03_FAKTOR!$B$6:$B$10,1))</f>
        <v>Atas</v>
      </c>
      <c r="E68" s="38" t="n">
        <f aca="false">1+INDEX(03_FAKTOR!$D$6:$D$10,MATCH($B68,03_FAKTOR!$B$6:$B$10,1))+INDEX(03_FAKTOR!$E$6:$E$10,MATCH($B68,03_FAKTOR!$B$6:$B$10,1))*($B68-INDEX(03_FAKTOR!$B$6:$B$10,MATCH($B68,03_FAKTOR!$B$6:$B$10,1)))</f>
        <v>1.105</v>
      </c>
      <c r="F68" s="38" t="n">
        <f aca="false">1+01_ASUMSI!$B$36*LN(($B68+01_ASUMSI!$B$38)/(01_ASUMSI!$B$37+01_ASUMSI!$B$38))</f>
        <v>1.07026767872068</v>
      </c>
      <c r="G68" s="38" t="n">
        <f aca="false">IF(01_ASUMSI!$B$35="ZONA",$E68,$F68)</f>
        <v>1.105</v>
      </c>
      <c r="H68" s="39" t="n">
        <f aca="false">IFERROR(INDEX(03_FAKTOR!$B$14:$B$17,MATCH(02_MASTER_UNIT!E64,03_FAKTOR!$A$14:$A$17,0)),0)</f>
        <v>0.06</v>
      </c>
      <c r="I68" s="38" t="n">
        <f aca="false">1+$H68-IF($H68&gt;0,MAX(0,$G68-1)*01_ASUMSI!$B$39,0)</f>
        <v>1.03165</v>
      </c>
      <c r="J68" s="38" t="n">
        <f aca="false">1+IFERROR(INDEX(03_FAKTOR!$B$21:$B$25,MATCH(02_MASTER_UNIT!F64,03_FAKTOR!$A$21:$A$25,0)),0)</f>
        <v>1.03</v>
      </c>
      <c r="K68" s="38" t="n">
        <f aca="false">MIN(01_ASUMSI!$B$45,MAX(01_ASUMSI!$B$44,IFERROR((01_ASUMSI!$B$42/$C68)^01_ASUMSI!$B$43,1)))</f>
        <v>0.967232512746337</v>
      </c>
      <c r="L68" s="38" t="n">
        <f aca="false">1+IFERROR(INDEX(03_FAKTOR!$B$29:$B$32,MATCH(02_MASTER_UNIT!G64,03_FAKTOR!$A$29:$A$32,0)),0)</f>
        <v>1</v>
      </c>
      <c r="M68" s="38" t="n">
        <f aca="false">1+IFERROR(INDEX(03_FAKTOR!$B$36:$B$39,MATCH(02_MASTER_UNIT!H64,03_FAKTOR!$A$36:$A$39,0)),0)</f>
        <v>1.02</v>
      </c>
      <c r="N68" s="38" t="n">
        <f aca="false">$G68*$I68*$J68*$K68*$L68*$M68</f>
        <v>1.1584117221288</v>
      </c>
      <c r="O68" s="38" t="n">
        <f aca="false">MIN(01_ASUMSI!$B$32,MAX(01_ASUMSI!$B$31,$N68))</f>
        <v>1.1584117221288</v>
      </c>
      <c r="Q68" s="40" t="n">
        <f aca="false">$E$6*$O68</f>
        <v>214903.586489693</v>
      </c>
      <c r="R68" s="40" t="n">
        <f aca="false">$Q68*$E$7</f>
        <v>197393.595593902</v>
      </c>
      <c r="S68" s="40" t="n">
        <f aca="false">ROUND($R68/01_ASUMSI!$B$23,0)*01_ASUMSI!$B$23</f>
        <v>197500</v>
      </c>
      <c r="T68" s="40" t="n">
        <f aca="false">$S68+01_ASUMSI!$B$22</f>
        <v>259500</v>
      </c>
      <c r="U68" s="40" t="n">
        <f aca="false">$S68*$C68</f>
        <v>113562500</v>
      </c>
      <c r="V68" s="40" t="n">
        <f aca="false">01_ASUMSI!$B$22*$C68</f>
        <v>35650000</v>
      </c>
      <c r="W68" s="40" t="n">
        <f aca="false">$U68+$V68</f>
        <v>149212500</v>
      </c>
      <c r="X68" s="40" t="n">
        <f aca="false">$W68*01_ASUMSI!$B$62</f>
        <v>16413375</v>
      </c>
      <c r="Y68" s="40" t="n">
        <f aca="false">$W68+$X68</f>
        <v>165625875</v>
      </c>
      <c r="Z68" s="40" t="n">
        <f aca="false">$W68*01_ASUMSI!$B$61</f>
        <v>14921250</v>
      </c>
      <c r="AA68" s="40" t="n">
        <f aca="false">$W68-$Z68</f>
        <v>134291250</v>
      </c>
      <c r="AB68" s="34" t="str">
        <f aca="false">02_MASTER_UNIT!I64</f>
        <v>Kosong</v>
      </c>
    </row>
    <row r="69" customFormat="false" ht="15" hidden="false" customHeight="false" outlineLevel="0" collapsed="false">
      <c r="A69" s="34" t="str">
        <f aca="false">02_MASTER_UNIT!B65</f>
        <v>MNS-01-27B</v>
      </c>
      <c r="B69" s="35" t="n">
        <f aca="false">02_MASTER_UNIT!C65</f>
        <v>27</v>
      </c>
      <c r="C69" s="36" t="n">
        <f aca="false">02_MASTER_UNIT!D65</f>
        <v>625</v>
      </c>
      <c r="D69" s="37" t="str">
        <f aca="false">INDEX(03_FAKTOR!$A$6:$A$10,MATCH($B69,03_FAKTOR!$B$6:$B$10,1))</f>
        <v>Atas</v>
      </c>
      <c r="E69" s="38" t="n">
        <f aca="false">1+INDEX(03_FAKTOR!$D$6:$D$10,MATCH($B69,03_FAKTOR!$B$6:$B$10,1))+INDEX(03_FAKTOR!$E$6:$E$10,MATCH($B69,03_FAKTOR!$B$6:$B$10,1))*($B69-INDEX(03_FAKTOR!$B$6:$B$10,MATCH($B69,03_FAKTOR!$B$6:$B$10,1)))</f>
        <v>1.105</v>
      </c>
      <c r="F69" s="38" t="n">
        <f aca="false">1+01_ASUMSI!$B$36*LN(($B69+01_ASUMSI!$B$38)/(01_ASUMSI!$B$37+01_ASUMSI!$B$38))</f>
        <v>1.07026767872068</v>
      </c>
      <c r="G69" s="38" t="n">
        <f aca="false">IF(01_ASUMSI!$B$35="ZONA",$E69,$F69)</f>
        <v>1.105</v>
      </c>
      <c r="H69" s="39" t="n">
        <f aca="false">IFERROR(INDEX(03_FAKTOR!$B$14:$B$17,MATCH(02_MASTER_UNIT!E65,03_FAKTOR!$A$14:$A$17,0)),0)</f>
        <v>0.06</v>
      </c>
      <c r="I69" s="38" t="n">
        <f aca="false">1+$H69-IF($H69&gt;0,MAX(0,$G69-1)*01_ASUMSI!$B$39,0)</f>
        <v>1.03165</v>
      </c>
      <c r="J69" s="38" t="n">
        <f aca="false">1+IFERROR(INDEX(03_FAKTOR!$B$21:$B$25,MATCH(02_MASTER_UNIT!F65,03_FAKTOR!$A$21:$A$25,0)),0)</f>
        <v>1</v>
      </c>
      <c r="K69" s="38" t="n">
        <f aca="false">MIN(01_ASUMSI!$B$45,MAX(01_ASUMSI!$B$44,IFERROR((01_ASUMSI!$B$42/$C69)^01_ASUMSI!$B$43,1)))</f>
        <v>0.964011910386724</v>
      </c>
      <c r="L69" s="38" t="n">
        <f aca="false">1+IFERROR(INDEX(03_FAKTOR!$B$29:$B$32,MATCH(02_MASTER_UNIT!G65,03_FAKTOR!$A$29:$A$32,0)),0)</f>
        <v>1.035</v>
      </c>
      <c r="M69" s="38" t="n">
        <f aca="false">1+IFERROR(INDEX(03_FAKTOR!$B$36:$B$39,MATCH(02_MASTER_UNIT!H65,03_FAKTOR!$A$36:$A$39,0)),0)</f>
        <v>1.02</v>
      </c>
      <c r="N69" s="38" t="n">
        <f aca="false">$G69*$I69*$J69*$K69*$L69*$M69</f>
        <v>1.16015918245435</v>
      </c>
      <c r="O69" s="38" t="n">
        <f aca="false">MIN(01_ASUMSI!$B$32,MAX(01_ASUMSI!$B$31,$N69))</f>
        <v>1.16015918245435</v>
      </c>
      <c r="Q69" s="40" t="n">
        <f aca="false">$E$6*$O69</f>
        <v>215227.767852879</v>
      </c>
      <c r="R69" s="40" t="n">
        <f aca="false">$Q69*$E$7</f>
        <v>197691.363192614</v>
      </c>
      <c r="S69" s="40" t="n">
        <f aca="false">ROUND($R69/01_ASUMSI!$B$23,0)*01_ASUMSI!$B$23</f>
        <v>197500</v>
      </c>
      <c r="T69" s="40" t="n">
        <f aca="false">$S69+01_ASUMSI!$B$22</f>
        <v>259500</v>
      </c>
      <c r="U69" s="40" t="n">
        <f aca="false">$S69*$C69</f>
        <v>123437500</v>
      </c>
      <c r="V69" s="40" t="n">
        <f aca="false">01_ASUMSI!$B$22*$C69</f>
        <v>38750000</v>
      </c>
      <c r="W69" s="40" t="n">
        <f aca="false">$U69+$V69</f>
        <v>162187500</v>
      </c>
      <c r="X69" s="40" t="n">
        <f aca="false">$W69*01_ASUMSI!$B$62</f>
        <v>17840625</v>
      </c>
      <c r="Y69" s="40" t="n">
        <f aca="false">$W69+$X69</f>
        <v>180028125</v>
      </c>
      <c r="Z69" s="40" t="n">
        <f aca="false">$W69*01_ASUMSI!$B$61</f>
        <v>16218750</v>
      </c>
      <c r="AA69" s="40" t="n">
        <f aca="false">$W69-$Z69</f>
        <v>145968750</v>
      </c>
      <c r="AB69" s="34" t="str">
        <f aca="false">02_MASTER_UNIT!I65</f>
        <v>Terisi</v>
      </c>
    </row>
    <row r="70" customFormat="false" ht="15" hidden="false" customHeight="false" outlineLevel="0" collapsed="false">
      <c r="A70" s="34" t="str">
        <f aca="false">02_MASTER_UNIT!B66</f>
        <v>MNS-01-28A</v>
      </c>
      <c r="B70" s="35" t="n">
        <f aca="false">02_MASTER_UNIT!C66</f>
        <v>28</v>
      </c>
      <c r="C70" s="36" t="n">
        <f aca="false">02_MASTER_UNIT!D66</f>
        <v>1200</v>
      </c>
      <c r="D70" s="37" t="str">
        <f aca="false">INDEX(03_FAKTOR!$A$6:$A$10,MATCH($B70,03_FAKTOR!$B$6:$B$10,1))</f>
        <v>Puncak</v>
      </c>
      <c r="E70" s="38" t="n">
        <f aca="false">1+INDEX(03_FAKTOR!$D$6:$D$10,MATCH($B70,03_FAKTOR!$B$6:$B$10,1))+INDEX(03_FAKTOR!$E$6:$E$10,MATCH($B70,03_FAKTOR!$B$6:$B$10,1))*($B70-INDEX(03_FAKTOR!$B$6:$B$10,MATCH($B70,03_FAKTOR!$B$6:$B$10,1)))</f>
        <v>1.13</v>
      </c>
      <c r="F70" s="38" t="n">
        <f aca="false">1+01_ASUMSI!$B$36*LN(($B70+01_ASUMSI!$B$38)/(01_ASUMSI!$B$37+01_ASUMSI!$B$38))</f>
        <v>1.07288326970735</v>
      </c>
      <c r="G70" s="38" t="n">
        <f aca="false">IF(01_ASUMSI!$B$35="ZONA",$E70,$F70)</f>
        <v>1.13</v>
      </c>
      <c r="H70" s="39" t="n">
        <f aca="false">IFERROR(INDEX(03_FAKTOR!$B$14:$B$17,MATCH(02_MASTER_UNIT!E66,03_FAKTOR!$A$14:$A$17,0)),0)</f>
        <v>0.03</v>
      </c>
      <c r="I70" s="38" t="n">
        <f aca="false">1+$H70-IF($H70&gt;0,MAX(0,$G70-1)*01_ASUMSI!$B$39,0)</f>
        <v>0.9949</v>
      </c>
      <c r="J70" s="38" t="n">
        <f aca="false">1+IFERROR(INDEX(03_FAKTOR!$B$21:$B$25,MATCH(02_MASTER_UNIT!F66,03_FAKTOR!$A$21:$A$25,0)),0)</f>
        <v>1.03</v>
      </c>
      <c r="K70" s="38" t="n">
        <f aca="false">MIN(01_ASUMSI!$B$45,MAX(01_ASUMSI!$B$44,IFERROR((01_ASUMSI!$B$42/$C70)^01_ASUMSI!$B$43,1)))</f>
        <v>0.939183275994594</v>
      </c>
      <c r="L70" s="38" t="n">
        <f aca="false">1+IFERROR(INDEX(03_FAKTOR!$B$29:$B$32,MATCH(02_MASTER_UNIT!G66,03_FAKTOR!$A$29:$A$32,0)),0)</f>
        <v>1.065</v>
      </c>
      <c r="M70" s="38" t="n">
        <f aca="false">1+IFERROR(INDEX(03_FAKTOR!$B$36:$B$39,MATCH(02_MASTER_UNIT!H66,03_FAKTOR!$A$36:$A$39,0)),0)</f>
        <v>1.02</v>
      </c>
      <c r="N70" s="38" t="n">
        <f aca="false">$G70*$I70*$J70*$K70*$L70*$M70</f>
        <v>1.18139527373486</v>
      </c>
      <c r="O70" s="38" t="n">
        <f aca="false">MIN(01_ASUMSI!$B$32,MAX(01_ASUMSI!$B$31,$N70))</f>
        <v>1.18139527373486</v>
      </c>
      <c r="Q70" s="40" t="n">
        <f aca="false">$E$6*$O70</f>
        <v>219167.396649812</v>
      </c>
      <c r="R70" s="40" t="n">
        <f aca="false">$Q70*$E$7</f>
        <v>201309.997512471</v>
      </c>
      <c r="S70" s="40" t="n">
        <f aca="false">ROUND($R70/01_ASUMSI!$B$23,0)*01_ASUMSI!$B$23</f>
        <v>201500</v>
      </c>
      <c r="T70" s="40" t="n">
        <f aca="false">$S70+01_ASUMSI!$B$22</f>
        <v>263500</v>
      </c>
      <c r="U70" s="40" t="n">
        <f aca="false">$S70*$C70</f>
        <v>241800000</v>
      </c>
      <c r="V70" s="40" t="n">
        <f aca="false">01_ASUMSI!$B$22*$C70</f>
        <v>74400000</v>
      </c>
      <c r="W70" s="40" t="n">
        <f aca="false">$U70+$V70</f>
        <v>316200000</v>
      </c>
      <c r="X70" s="40" t="n">
        <f aca="false">$W70*01_ASUMSI!$B$62</f>
        <v>34782000</v>
      </c>
      <c r="Y70" s="40" t="n">
        <f aca="false">$W70+$X70</f>
        <v>350982000</v>
      </c>
      <c r="Z70" s="40" t="n">
        <f aca="false">$W70*01_ASUMSI!$B$61</f>
        <v>31620000</v>
      </c>
      <c r="AA70" s="40" t="n">
        <f aca="false">$W70-$Z70</f>
        <v>284580000</v>
      </c>
      <c r="AB70" s="34" t="str">
        <f aca="false">02_MASTER_UNIT!I66</f>
        <v>Terisi</v>
      </c>
    </row>
    <row r="71" customFormat="false" ht="15" hidden="false" customHeight="false" outlineLevel="0" collapsed="false">
      <c r="A71" s="34" t="str">
        <f aca="false">02_MASTER_UNIT!B67</f>
        <v>MNS-01-29A</v>
      </c>
      <c r="B71" s="35" t="n">
        <f aca="false">02_MASTER_UNIT!C67</f>
        <v>29</v>
      </c>
      <c r="C71" s="36" t="n">
        <f aca="false">02_MASTER_UNIT!D67</f>
        <v>1200</v>
      </c>
      <c r="D71" s="37" t="str">
        <f aca="false">INDEX(03_FAKTOR!$A$6:$A$10,MATCH($B71,03_FAKTOR!$B$6:$B$10,1))</f>
        <v>Puncak</v>
      </c>
      <c r="E71" s="38" t="n">
        <f aca="false">1+INDEX(03_FAKTOR!$D$6:$D$10,MATCH($B71,03_FAKTOR!$B$6:$B$10,1))+INDEX(03_FAKTOR!$E$6:$E$10,MATCH($B71,03_FAKTOR!$B$6:$B$10,1))*($B71-INDEX(03_FAKTOR!$B$6:$B$10,MATCH($B71,03_FAKTOR!$B$6:$B$10,1)))</f>
        <v>1.1315</v>
      </c>
      <c r="F71" s="38" t="n">
        <f aca="false">1+01_ASUMSI!$B$36*LN(($B71+01_ASUMSI!$B$38)/(01_ASUMSI!$B$37+01_ASUMSI!$B$38))</f>
        <v>1.07542077157508</v>
      </c>
      <c r="G71" s="38" t="n">
        <f aca="false">IF(01_ASUMSI!$B$35="ZONA",$E71,$F71)</f>
        <v>1.1315</v>
      </c>
      <c r="H71" s="39" t="n">
        <f aca="false">IFERROR(INDEX(03_FAKTOR!$B$14:$B$17,MATCH(02_MASTER_UNIT!E67,03_FAKTOR!$A$14:$A$17,0)),0)</f>
        <v>0.03</v>
      </c>
      <c r="I71" s="38" t="n">
        <f aca="false">1+$H71-IF($H71&gt;0,MAX(0,$G71-1)*01_ASUMSI!$B$39,0)</f>
        <v>0.994495</v>
      </c>
      <c r="J71" s="38" t="n">
        <f aca="false">1+IFERROR(INDEX(03_FAKTOR!$B$21:$B$25,MATCH(02_MASTER_UNIT!F67,03_FAKTOR!$A$21:$A$25,0)),0)</f>
        <v>1.03</v>
      </c>
      <c r="K71" s="38" t="n">
        <f aca="false">MIN(01_ASUMSI!$B$45,MAX(01_ASUMSI!$B$44,IFERROR((01_ASUMSI!$B$42/$C71)^01_ASUMSI!$B$43,1)))</f>
        <v>0.939183275994594</v>
      </c>
      <c r="L71" s="38" t="n">
        <f aca="false">1+IFERROR(INDEX(03_FAKTOR!$B$29:$B$32,MATCH(02_MASTER_UNIT!G67,03_FAKTOR!$A$29:$A$32,0)),0)</f>
        <v>1.065</v>
      </c>
      <c r="M71" s="38" t="n">
        <f aca="false">1+IFERROR(INDEX(03_FAKTOR!$B$36:$B$39,MATCH(02_MASTER_UNIT!H67,03_FAKTOR!$A$36:$A$39,0)),0)</f>
        <v>1.02</v>
      </c>
      <c r="N71" s="38" t="n">
        <f aca="false">$G71*$I71*$J71*$K71*$L71*$M71</f>
        <v>1.18248194139666</v>
      </c>
      <c r="O71" s="38" t="n">
        <f aca="false">MIN(01_ASUMSI!$B$32,MAX(01_ASUMSI!$B$31,$N71))</f>
        <v>1.18248194139666</v>
      </c>
      <c r="Q71" s="40" t="n">
        <f aca="false">$E$6*$O71</f>
        <v>219368.990585183</v>
      </c>
      <c r="R71" s="40" t="n">
        <f aca="false">$Q71*$E$7</f>
        <v>201495.165905437</v>
      </c>
      <c r="S71" s="40" t="n">
        <f aca="false">ROUND($R71/01_ASUMSI!$B$23,0)*01_ASUMSI!$B$23</f>
        <v>201500</v>
      </c>
      <c r="T71" s="40" t="n">
        <f aca="false">$S71+01_ASUMSI!$B$22</f>
        <v>263500</v>
      </c>
      <c r="U71" s="40" t="n">
        <f aca="false">$S71*$C71</f>
        <v>241800000</v>
      </c>
      <c r="V71" s="40" t="n">
        <f aca="false">01_ASUMSI!$B$22*$C71</f>
        <v>74400000</v>
      </c>
      <c r="W71" s="40" t="n">
        <f aca="false">$U71+$V71</f>
        <v>316200000</v>
      </c>
      <c r="X71" s="40" t="n">
        <f aca="false">$W71*01_ASUMSI!$B$62</f>
        <v>34782000</v>
      </c>
      <c r="Y71" s="40" t="n">
        <f aca="false">$W71+$X71</f>
        <v>350982000</v>
      </c>
      <c r="Z71" s="40" t="n">
        <f aca="false">$W71*01_ASUMSI!$B$61</f>
        <v>31620000</v>
      </c>
      <c r="AA71" s="40" t="n">
        <f aca="false">$W71-$Z71</f>
        <v>284580000</v>
      </c>
      <c r="AB71" s="34" t="str">
        <f aca="false">02_MASTER_UNIT!I67</f>
        <v>Kosong</v>
      </c>
    </row>
    <row r="72" customFormat="false" ht="15" hidden="false" customHeight="false" outlineLevel="0" collapsed="false">
      <c r="A72" s="34" t="str">
        <f aca="false">02_MASTER_UNIT!B68</f>
        <v>MNS-01-30A</v>
      </c>
      <c r="B72" s="35" t="n">
        <f aca="false">02_MASTER_UNIT!C68</f>
        <v>30</v>
      </c>
      <c r="C72" s="36" t="n">
        <f aca="false">02_MASTER_UNIT!D68</f>
        <v>1200</v>
      </c>
      <c r="D72" s="37" t="str">
        <f aca="false">INDEX(03_FAKTOR!$A$6:$A$10,MATCH($B72,03_FAKTOR!$B$6:$B$10,1))</f>
        <v>Puncak</v>
      </c>
      <c r="E72" s="38" t="n">
        <f aca="false">1+INDEX(03_FAKTOR!$D$6:$D$10,MATCH($B72,03_FAKTOR!$B$6:$B$10,1))+INDEX(03_FAKTOR!$E$6:$E$10,MATCH($B72,03_FAKTOR!$B$6:$B$10,1))*($B72-INDEX(03_FAKTOR!$B$6:$B$10,MATCH($B72,03_FAKTOR!$B$6:$B$10,1)))</f>
        <v>1.133</v>
      </c>
      <c r="F72" s="38" t="n">
        <f aca="false">1+01_ASUMSI!$B$36*LN(($B72+01_ASUMSI!$B$38)/(01_ASUMSI!$B$37+01_ASUMSI!$B$38))</f>
        <v>1.0778847122093</v>
      </c>
      <c r="G72" s="38" t="n">
        <f aca="false">IF(01_ASUMSI!$B$35="ZONA",$E72,$F72)</f>
        <v>1.133</v>
      </c>
      <c r="H72" s="39" t="n">
        <f aca="false">IFERROR(INDEX(03_FAKTOR!$B$14:$B$17,MATCH(02_MASTER_UNIT!E68,03_FAKTOR!$A$14:$A$17,0)),0)</f>
        <v>0.06</v>
      </c>
      <c r="I72" s="38" t="n">
        <f aca="false">1+$H72-IF($H72&gt;0,MAX(0,$G72-1)*01_ASUMSI!$B$39,0)</f>
        <v>1.02409</v>
      </c>
      <c r="J72" s="38" t="n">
        <f aca="false">1+IFERROR(INDEX(03_FAKTOR!$B$21:$B$25,MATCH(02_MASTER_UNIT!F68,03_FAKTOR!$A$21:$A$25,0)),0)</f>
        <v>1.03</v>
      </c>
      <c r="K72" s="38" t="n">
        <f aca="false">MIN(01_ASUMSI!$B$45,MAX(01_ASUMSI!$B$44,IFERROR((01_ASUMSI!$B$42/$C72)^01_ASUMSI!$B$43,1)))</f>
        <v>0.939183275994594</v>
      </c>
      <c r="L72" s="38" t="n">
        <f aca="false">1+IFERROR(INDEX(03_FAKTOR!$B$29:$B$32,MATCH(02_MASTER_UNIT!G68,03_FAKTOR!$A$29:$A$32,0)),0)</f>
        <v>1</v>
      </c>
      <c r="M72" s="38" t="n">
        <f aca="false">1+IFERROR(INDEX(03_FAKTOR!$B$36:$B$39,MATCH(02_MASTER_UNIT!H68,03_FAKTOR!$A$36:$A$39,0)),0)</f>
        <v>1</v>
      </c>
      <c r="N72" s="38" t="n">
        <f aca="false">$G72*$I72*$J72*$K72*$L72*$M72</f>
        <v>1.12242055261721</v>
      </c>
      <c r="O72" s="38" t="n">
        <f aca="false">MIN(01_ASUMSI!$B$32,MAX(01_ASUMSI!$B$31,$N72))</f>
        <v>1.12242055261721</v>
      </c>
      <c r="Q72" s="40" t="n">
        <f aca="false">$E$6*$O72</f>
        <v>208226.658708106</v>
      </c>
      <c r="R72" s="40" t="n">
        <f aca="false">$Q72*$E$7</f>
        <v>191260.692910161</v>
      </c>
      <c r="S72" s="40" t="n">
        <f aca="false">ROUND($R72/01_ASUMSI!$B$23,0)*01_ASUMSI!$B$23</f>
        <v>191500</v>
      </c>
      <c r="T72" s="40" t="n">
        <f aca="false">$S72+01_ASUMSI!$B$22</f>
        <v>253500</v>
      </c>
      <c r="U72" s="40" t="n">
        <f aca="false">$S72*$C72</f>
        <v>229800000</v>
      </c>
      <c r="V72" s="40" t="n">
        <f aca="false">01_ASUMSI!$B$22*$C72</f>
        <v>74400000</v>
      </c>
      <c r="W72" s="40" t="n">
        <f aca="false">$U72+$V72</f>
        <v>304200000</v>
      </c>
      <c r="X72" s="40" t="n">
        <f aca="false">$W72*01_ASUMSI!$B$62</f>
        <v>33462000</v>
      </c>
      <c r="Y72" s="40" t="n">
        <f aca="false">$W72+$X72</f>
        <v>337662000</v>
      </c>
      <c r="Z72" s="40" t="n">
        <f aca="false">$W72*01_ASUMSI!$B$61</f>
        <v>30420000</v>
      </c>
      <c r="AA72" s="40" t="n">
        <f aca="false">$W72-$Z72</f>
        <v>273780000</v>
      </c>
      <c r="AB72" s="34" t="str">
        <f aca="false">02_MASTER_UNIT!I68</f>
        <v>Terisi</v>
      </c>
    </row>
    <row r="74" customFormat="false" ht="15" hidden="false" customHeight="false" outlineLevel="0" collapsed="false">
      <c r="A74" s="4" t="s">
        <v>371</v>
      </c>
      <c r="C74" s="27" t="n">
        <f aca="false">SUM($C$9:$C$72)</f>
        <v>33600</v>
      </c>
      <c r="S74" s="27" t="n">
        <f aca="false">IFERROR(SUMPRODUCT($C$9:$C$72,$S$9:$S$72)/SUM($C$9:$C$72),0)</f>
        <v>185547.842261905</v>
      </c>
      <c r="U74" s="27" t="n">
        <f aca="false">SUM($U$9:$U$72)</f>
        <v>6234407500</v>
      </c>
      <c r="V74" s="27" t="n">
        <f aca="false">SUM($V$9:$V$72)</f>
        <v>2083200000</v>
      </c>
      <c r="W74" s="27" t="n">
        <f aca="false">SUM($W$9:$W$72)</f>
        <v>8317607500</v>
      </c>
      <c r="AA74" s="27" t="n">
        <f aca="false">SUM($Z$9:$Z$72)</f>
        <v>831760750</v>
      </c>
    </row>
    <row r="75" customFormat="false" ht="15" hidden="false" customHeight="false" outlineLevel="0" collapsed="false">
      <c r="A75" s="12" t="s">
        <v>372</v>
      </c>
    </row>
  </sheetData>
  <autoFilter ref="A8:AB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10" min="5" style="0" width="11"/>
    <col collapsed="false" customWidth="true" hidden="false" outlineLevel="0" max="13" min="11" style="0" width="12"/>
    <col collapsed="false" customWidth="true" hidden="false" outlineLevel="0" max="14" min="14" style="0" width="11"/>
    <col collapsed="false" customWidth="true" hidden="false" outlineLevel="0" max="16" min="15" style="0" width="16"/>
    <col collapsed="false" customWidth="true" hidden="false" outlineLevel="0" max="17" min="17" style="0" width="34"/>
  </cols>
  <sheetData>
    <row r="1" customFormat="false" ht="24" hidden="false" customHeight="true" outlineLevel="0" collapsed="false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9" t="s">
        <v>374</v>
      </c>
    </row>
    <row r="4" customFormat="false" ht="31.5" hidden="false" customHeight="true" outlineLevel="0" collapsed="false">
      <c r="A4" s="25" t="s">
        <v>375</v>
      </c>
      <c r="B4" s="25" t="s">
        <v>376</v>
      </c>
      <c r="C4" s="25" t="s">
        <v>67</v>
      </c>
      <c r="D4" s="25" t="s">
        <v>377</v>
      </c>
      <c r="E4" s="25" t="s">
        <v>378</v>
      </c>
      <c r="F4" s="25" t="s">
        <v>379</v>
      </c>
      <c r="G4" s="25" t="s">
        <v>380</v>
      </c>
      <c r="H4" s="25" t="s">
        <v>381</v>
      </c>
      <c r="I4" s="25" t="s">
        <v>382</v>
      </c>
      <c r="J4" s="25" t="s">
        <v>383</v>
      </c>
      <c r="K4" s="25" t="s">
        <v>384</v>
      </c>
      <c r="L4" s="25" t="s">
        <v>385</v>
      </c>
      <c r="M4" s="25" t="s">
        <v>386</v>
      </c>
      <c r="N4" s="25" t="s">
        <v>387</v>
      </c>
      <c r="O4" s="25" t="s">
        <v>388</v>
      </c>
      <c r="P4" s="25" t="s">
        <v>389</v>
      </c>
      <c r="Q4" s="25" t="s">
        <v>390</v>
      </c>
    </row>
    <row r="5" customFormat="false" ht="15" hidden="false" customHeight="false" outlineLevel="0" collapsed="false">
      <c r="A5" s="11" t="s">
        <v>391</v>
      </c>
      <c r="B5" s="11" t="s">
        <v>392</v>
      </c>
      <c r="C5" s="11" t="s">
        <v>68</v>
      </c>
      <c r="D5" s="20" t="n">
        <v>195000</v>
      </c>
      <c r="E5" s="15" t="n">
        <v>0</v>
      </c>
      <c r="F5" s="15" t="n">
        <v>0.03</v>
      </c>
      <c r="G5" s="15" t="n">
        <v>0</v>
      </c>
      <c r="H5" s="15" t="n">
        <v>-0.04</v>
      </c>
      <c r="I5" s="15" t="n">
        <v>-0.03</v>
      </c>
      <c r="J5" s="15" t="n">
        <v>0</v>
      </c>
      <c r="K5" s="16" t="n">
        <f aca="false">SUM($E5:$J5)</f>
        <v>-0.04</v>
      </c>
      <c r="L5" s="16" t="n">
        <f aca="false">SUMPRODUCT(ABS($E5:$J5))</f>
        <v>0.1</v>
      </c>
      <c r="M5" s="41" t="n">
        <f aca="false">1/($L5+0.01)</f>
        <v>9.09090909090909</v>
      </c>
      <c r="N5" s="16" t="n">
        <f aca="false">IFERROR($M5/SUM($M$5:$M$10),0)</f>
        <v>0.165775295533935</v>
      </c>
      <c r="O5" s="42" t="n">
        <f aca="false">$D5*(1+$E5)*(1+$F5)*(1+$G5)*(1+$H5)*(1+$I5)*(1+$J5)</f>
        <v>187031.52</v>
      </c>
      <c r="P5" s="42" t="n">
        <f aca="false">$N5*$O5</f>
        <v>31005.205502161</v>
      </c>
      <c r="Q5" s="12" t="s">
        <v>393</v>
      </c>
    </row>
    <row r="6" customFormat="false" ht="15" hidden="false" customHeight="false" outlineLevel="0" collapsed="false">
      <c r="A6" s="11" t="s">
        <v>394</v>
      </c>
      <c r="B6" s="11" t="s">
        <v>395</v>
      </c>
      <c r="C6" s="11" t="s">
        <v>396</v>
      </c>
      <c r="D6" s="20" t="n">
        <v>165000</v>
      </c>
      <c r="E6" s="15" t="n">
        <v>0.05</v>
      </c>
      <c r="F6" s="15" t="n">
        <v>-0.02</v>
      </c>
      <c r="G6" s="15" t="n">
        <v>0.06</v>
      </c>
      <c r="H6" s="15" t="n">
        <v>0.02</v>
      </c>
      <c r="I6" s="15" t="n">
        <v>0</v>
      </c>
      <c r="J6" s="15" t="n">
        <v>0</v>
      </c>
      <c r="K6" s="16" t="n">
        <f aca="false">SUM($E6:$J6)</f>
        <v>0.11</v>
      </c>
      <c r="L6" s="16" t="n">
        <f aca="false">SUMPRODUCT(ABS($E6:$J6))</f>
        <v>0.15</v>
      </c>
      <c r="M6" s="41" t="n">
        <f aca="false">1/($L6+0.01)</f>
        <v>6.25</v>
      </c>
      <c r="N6" s="16" t="n">
        <f aca="false">IFERROR($M6/SUM($M$5:$M$10),0)</f>
        <v>0.11397051567958</v>
      </c>
      <c r="O6" s="42" t="n">
        <f aca="false">$D6*(1+$E6)*(1+$F6)*(1+$G6)*(1+$H6)*(1+$I6)*(1+$J6)</f>
        <v>183571.542</v>
      </c>
      <c r="P6" s="42" t="n">
        <f aca="false">$N6*$O6</f>
        <v>20921.7433058357</v>
      </c>
      <c r="Q6" s="12" t="s">
        <v>397</v>
      </c>
    </row>
    <row r="7" customFormat="false" ht="15" hidden="false" customHeight="false" outlineLevel="0" collapsed="false">
      <c r="A7" s="11" t="s">
        <v>398</v>
      </c>
      <c r="B7" s="11" t="s">
        <v>399</v>
      </c>
      <c r="C7" s="11" t="s">
        <v>68</v>
      </c>
      <c r="D7" s="20" t="n">
        <v>210000</v>
      </c>
      <c r="E7" s="15" t="n">
        <v>-0.06</v>
      </c>
      <c r="F7" s="15" t="n">
        <v>0.05</v>
      </c>
      <c r="G7" s="15" t="n">
        <v>-0.05</v>
      </c>
      <c r="H7" s="15" t="n">
        <v>-0.05</v>
      </c>
      <c r="I7" s="15" t="n">
        <v>-0.03</v>
      </c>
      <c r="J7" s="15" t="n">
        <v>0</v>
      </c>
      <c r="K7" s="16" t="n">
        <f aca="false">SUM($E7:$J7)</f>
        <v>-0.14</v>
      </c>
      <c r="L7" s="16" t="n">
        <f aca="false">SUMPRODUCT(ABS($E7:$J7))</f>
        <v>0.24</v>
      </c>
      <c r="M7" s="41" t="n">
        <f aca="false">1/($L7+0.01)</f>
        <v>4</v>
      </c>
      <c r="N7" s="16" t="n">
        <f aca="false">IFERROR($M7/SUM($M$5:$M$10),0)</f>
        <v>0.0729411300349312</v>
      </c>
      <c r="O7" s="42" t="n">
        <f aca="false">$D7*(1+$E7)*(1+$F7)*(1+$G7)*(1+$H7)*(1+$I7)*(1+$J7)</f>
        <v>181449.33975</v>
      </c>
      <c r="P7" s="42" t="n">
        <f aca="false">$N7*$O7</f>
        <v>13235.1198854572</v>
      </c>
      <c r="Q7" s="12" t="s">
        <v>393</v>
      </c>
    </row>
    <row r="8" customFormat="false" ht="15" hidden="false" customHeight="false" outlineLevel="0" collapsed="false">
      <c r="A8" s="11" t="s">
        <v>400</v>
      </c>
      <c r="B8" s="11" t="s">
        <v>401</v>
      </c>
      <c r="C8" s="11" t="s">
        <v>402</v>
      </c>
      <c r="D8" s="20" t="n">
        <v>172000</v>
      </c>
      <c r="E8" s="15" t="n">
        <v>0.02</v>
      </c>
      <c r="F8" s="15" t="n">
        <v>0</v>
      </c>
      <c r="G8" s="15" t="n">
        <v>0.04</v>
      </c>
      <c r="H8" s="15" t="n">
        <v>0</v>
      </c>
      <c r="I8" s="15" t="n">
        <v>0</v>
      </c>
      <c r="J8" s="15" t="n">
        <v>0</v>
      </c>
      <c r="K8" s="16" t="n">
        <f aca="false">SUM($E8:$J8)</f>
        <v>0.06</v>
      </c>
      <c r="L8" s="16" t="n">
        <f aca="false">SUMPRODUCT(ABS($E8:$J8))</f>
        <v>0.06</v>
      </c>
      <c r="M8" s="41" t="n">
        <f aca="false">1/($L8+0.01)</f>
        <v>14.2857142857143</v>
      </c>
      <c r="N8" s="16" t="n">
        <f aca="false">IFERROR($M8/SUM($M$5:$M$10),0)</f>
        <v>0.26050403583904</v>
      </c>
      <c r="O8" s="42" t="n">
        <f aca="false">$D8*(1+$E8)*(1+$F8)*(1+$G8)*(1+$H8)*(1+$I8)*(1+$J8)</f>
        <v>182457.6</v>
      </c>
      <c r="P8" s="42" t="n">
        <f aca="false">$N8*$O8</f>
        <v>47530.9411695052</v>
      </c>
      <c r="Q8" s="12" t="s">
        <v>403</v>
      </c>
    </row>
    <row r="9" customFormat="false" ht="15" hidden="false" customHeight="false" outlineLevel="0" collapsed="false">
      <c r="A9" s="11" t="s">
        <v>404</v>
      </c>
      <c r="B9" s="11" t="s">
        <v>405</v>
      </c>
      <c r="C9" s="11" t="s">
        <v>396</v>
      </c>
      <c r="D9" s="20" t="n">
        <v>158000</v>
      </c>
      <c r="E9" s="15" t="n">
        <v>0.06</v>
      </c>
      <c r="F9" s="15" t="n">
        <v>-0.03</v>
      </c>
      <c r="G9" s="15" t="n">
        <v>0.07</v>
      </c>
      <c r="H9" s="15" t="n">
        <v>0.03</v>
      </c>
      <c r="I9" s="15" t="n">
        <v>0</v>
      </c>
      <c r="J9" s="15" t="n">
        <v>0.02</v>
      </c>
      <c r="K9" s="16" t="n">
        <f aca="false">SUM($E9:$J9)</f>
        <v>0.15</v>
      </c>
      <c r="L9" s="16" t="n">
        <f aca="false">SUMPRODUCT(ABS($E9:$J9))</f>
        <v>0.21</v>
      </c>
      <c r="M9" s="41" t="n">
        <f aca="false">1/($L9+0.01)</f>
        <v>4.54545454545455</v>
      </c>
      <c r="N9" s="16" t="n">
        <f aca="false">IFERROR($M9/SUM($M$5:$M$10),0)</f>
        <v>0.0828876477669673</v>
      </c>
      <c r="O9" s="42" t="n">
        <f aca="false">$D9*(1+$E9)*(1+$F9)*(1+$G9)*(1+$H9)*(1+$I9)*(1+$J9)</f>
        <v>182623.1630952</v>
      </c>
      <c r="P9" s="42" t="n">
        <f aca="false">$N9*$O9</f>
        <v>15137.2044167244</v>
      </c>
      <c r="Q9" s="12" t="s">
        <v>406</v>
      </c>
    </row>
    <row r="10" customFormat="false" ht="15" hidden="false" customHeight="false" outlineLevel="0" collapsed="false">
      <c r="A10" s="11" t="s">
        <v>407</v>
      </c>
      <c r="B10" s="11" t="s">
        <v>408</v>
      </c>
      <c r="C10" s="11" t="s">
        <v>68</v>
      </c>
      <c r="D10" s="20" t="n">
        <v>188000</v>
      </c>
      <c r="E10" s="15" t="n">
        <v>0.01</v>
      </c>
      <c r="F10" s="15" t="n">
        <v>0.02</v>
      </c>
      <c r="G10" s="15" t="n">
        <v>0</v>
      </c>
      <c r="H10" s="15" t="n">
        <v>-0.02</v>
      </c>
      <c r="I10" s="15" t="n">
        <v>0</v>
      </c>
      <c r="J10" s="15" t="n">
        <v>0</v>
      </c>
      <c r="K10" s="16" t="n">
        <f aca="false">SUM($E10:$J10)</f>
        <v>0.01</v>
      </c>
      <c r="L10" s="16" t="n">
        <f aca="false">SUMPRODUCT(ABS($E10:$J10))</f>
        <v>0.05</v>
      </c>
      <c r="M10" s="41" t="n">
        <f aca="false">1/($L10+0.01)</f>
        <v>16.6666666666667</v>
      </c>
      <c r="N10" s="16" t="n">
        <f aca="false">IFERROR($M10/SUM($M$5:$M$10),0)</f>
        <v>0.303921375145547</v>
      </c>
      <c r="O10" s="42" t="n">
        <f aca="false">$D10*(1+$E10)*(1+$F10)*(1+$G10)*(1+$H10)*(1+$I10)*(1+$J10)</f>
        <v>189804.048</v>
      </c>
      <c r="P10" s="42" t="n">
        <f aca="false">$N10*$O10</f>
        <v>57685.5072763514</v>
      </c>
      <c r="Q10" s="12" t="s">
        <v>393</v>
      </c>
    </row>
    <row r="12" customFormat="false" ht="15" hidden="false" customHeight="false" outlineLevel="0" collapsed="false">
      <c r="A12" s="4" t="s">
        <v>409</v>
      </c>
      <c r="D12" s="43" t="n">
        <f aca="false">SUM($P$5:$P$10)</f>
        <v>185515.721556035</v>
      </c>
      <c r="E12" s="44" t="s">
        <v>410</v>
      </c>
    </row>
    <row r="13" customFormat="false" ht="15" hidden="false" customHeight="false" outlineLevel="0" collapsed="false">
      <c r="A13" s="10" t="s">
        <v>411</v>
      </c>
      <c r="D13" s="45" t="n">
        <f aca="false">AVERAGE($O$5:$O$10)</f>
        <v>184489.5354742</v>
      </c>
    </row>
    <row r="14" customFormat="false" ht="15" hidden="false" customHeight="false" outlineLevel="0" collapsed="false">
      <c r="A14" s="10" t="s">
        <v>412</v>
      </c>
      <c r="D14" s="45" t="n">
        <f aca="false">STDEV($O$5:$O$10)</f>
        <v>3237.38593327443</v>
      </c>
    </row>
    <row r="15" customFormat="false" ht="15" hidden="false" customHeight="false" outlineLevel="0" collapsed="false">
      <c r="A15" s="10" t="s">
        <v>413</v>
      </c>
      <c r="D15" s="46" t="n">
        <f aca="false">IFERROR(STDEV($O$5:$O$10)/AVERAGE($O$5:$O$10),1)</f>
        <v>0.0175478025078944</v>
      </c>
      <c r="E15" s="44" t="s">
        <v>414</v>
      </c>
    </row>
    <row r="16" customFormat="false" ht="15" hidden="false" customHeight="false" outlineLevel="0" collapsed="false">
      <c r="A16" s="10" t="s">
        <v>415</v>
      </c>
      <c r="D16" s="46" t="n">
        <f aca="false">MAX($L$5:$L$10)</f>
        <v>0.24</v>
      </c>
      <c r="E16" s="44" t="s">
        <v>416</v>
      </c>
    </row>
    <row r="17" customFormat="false" ht="15" hidden="false" customHeight="false" outlineLevel="0" collapsed="false">
      <c r="A17" s="10" t="s">
        <v>417</v>
      </c>
      <c r="D17" s="26" t="n">
        <f aca="false">COUNTA($A$5:$A$10)</f>
        <v>6</v>
      </c>
      <c r="E17" s="44" t="s">
        <v>418</v>
      </c>
    </row>
    <row r="19" customFormat="false" ht="15" hidden="false" customHeight="false" outlineLevel="0" collapsed="false">
      <c r="A19" s="28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58"/>
  </cols>
  <sheetData>
    <row r="1" customFormat="false" ht="24" hidden="false" customHeight="true" outlineLevel="0" collapsed="false">
      <c r="A1" s="1" t="s">
        <v>420</v>
      </c>
      <c r="B1" s="2"/>
      <c r="C1" s="2"/>
      <c r="D1" s="2"/>
    </row>
    <row r="3" customFormat="false" ht="15" hidden="false" customHeight="false" outlineLevel="0" collapsed="false">
      <c r="A3" s="7" t="s">
        <v>421</v>
      </c>
      <c r="B3" s="8"/>
      <c r="C3" s="8"/>
      <c r="D3" s="8"/>
    </row>
    <row r="4" customFormat="false" ht="15" hidden="false" customHeight="false" outlineLevel="0" collapsed="false">
      <c r="A4" s="10" t="s">
        <v>422</v>
      </c>
      <c r="C4" s="18" t="n">
        <f aca="false">01_ASUMSI!$B$12</f>
        <v>33600</v>
      </c>
    </row>
    <row r="5" customFormat="false" ht="15" hidden="false" customHeight="false" outlineLevel="0" collapsed="false">
      <c r="A5" s="10" t="s">
        <v>140</v>
      </c>
      <c r="C5" s="47" t="n">
        <f aca="false">01_ASUMSI!$B$54</f>
        <v>0.78</v>
      </c>
    </row>
    <row r="6" customFormat="false" ht="15" hidden="false" customHeight="false" outlineLevel="0" collapsed="false">
      <c r="A6" s="10" t="s">
        <v>142</v>
      </c>
      <c r="C6" s="48" t="n">
        <f aca="false">01_ASUMSI!$B$55</f>
        <v>0.015</v>
      </c>
    </row>
    <row r="7" customFormat="false" ht="15" hidden="false" customHeight="false" outlineLevel="0" collapsed="false">
      <c r="A7" s="10" t="s">
        <v>423</v>
      </c>
      <c r="C7" s="42" t="n">
        <f aca="false">$C$4*($C$5-$C$6)*12</f>
        <v>308448</v>
      </c>
      <c r="D7" s="12" t="s">
        <v>424</v>
      </c>
    </row>
    <row r="8" customFormat="false" ht="15" hidden="false" customHeight="false" outlineLevel="0" collapsed="false">
      <c r="A8" s="10" t="s">
        <v>425</v>
      </c>
      <c r="C8" s="18" t="n">
        <f aca="false">01_ASUMSI!$B$48</f>
        <v>700000000000</v>
      </c>
    </row>
    <row r="9" customFormat="false" ht="15" hidden="false" customHeight="false" outlineLevel="0" collapsed="false">
      <c r="A9" s="10" t="s">
        <v>131</v>
      </c>
      <c r="C9" s="48" t="n">
        <f aca="false">01_ASUMSI!$B$49</f>
        <v>0.07</v>
      </c>
    </row>
    <row r="10" customFormat="false" ht="15" hidden="false" customHeight="false" outlineLevel="0" collapsed="false">
      <c r="A10" s="10" t="s">
        <v>426</v>
      </c>
      <c r="C10" s="42" t="n">
        <f aca="false">$C$8*$C$9</f>
        <v>49000000000</v>
      </c>
      <c r="D10" s="12" t="s">
        <v>427</v>
      </c>
    </row>
    <row r="11" customFormat="false" ht="15" hidden="false" customHeight="false" outlineLevel="0" collapsed="false">
      <c r="A11" s="10" t="s">
        <v>133</v>
      </c>
      <c r="C11" s="18" t="n">
        <f aca="false">01_ASUMSI!$B$50</f>
        <v>26400000000</v>
      </c>
    </row>
    <row r="12" customFormat="false" ht="15" hidden="false" customHeight="false" outlineLevel="0" collapsed="false">
      <c r="A12" s="10" t="s">
        <v>135</v>
      </c>
      <c r="C12" s="18" t="n">
        <f aca="false">01_ASUMSI!$B$51</f>
        <v>4800000000</v>
      </c>
    </row>
    <row r="13" customFormat="false" ht="15" hidden="false" customHeight="false" outlineLevel="0" collapsed="false">
      <c r="A13" s="4" t="s">
        <v>428</v>
      </c>
      <c r="C13" s="49" t="n">
        <f aca="false">IFERROR(($C$10+$C$11-$C$12)/$C$7,0)</f>
        <v>228887.851436871</v>
      </c>
      <c r="D13" s="12" t="s">
        <v>429</v>
      </c>
    </row>
    <row r="15" customFormat="false" ht="15" hidden="false" customHeight="false" outlineLevel="0" collapsed="false">
      <c r="A15" s="7" t="s">
        <v>430</v>
      </c>
      <c r="B15" s="8"/>
      <c r="C15" s="8"/>
      <c r="D15" s="8"/>
    </row>
    <row r="16" customFormat="false" ht="15" hidden="false" customHeight="false" outlineLevel="0" collapsed="false">
      <c r="A16" s="10" t="s">
        <v>137</v>
      </c>
      <c r="C16" s="18" t="n">
        <f aca="false">01_ASUMSI!$B$52</f>
        <v>6720000000</v>
      </c>
    </row>
    <row r="17" customFormat="false" ht="15" hidden="false" customHeight="false" outlineLevel="0" collapsed="false">
      <c r="A17" s="10" t="s">
        <v>139</v>
      </c>
      <c r="C17" s="18" t="n">
        <f aca="false">01_ASUMSI!$B$53</f>
        <v>22000000000</v>
      </c>
    </row>
    <row r="18" customFormat="false" ht="15" hidden="false" customHeight="false" outlineLevel="0" collapsed="false">
      <c r="A18" s="4" t="s">
        <v>431</v>
      </c>
      <c r="C18" s="49" t="n">
        <f aca="false">IFERROR(($C$11+$C$16+$C$17-$C$12)/$C$7,0)</f>
        <v>163139.329805996</v>
      </c>
      <c r="D18" s="12" t="s">
        <v>432</v>
      </c>
    </row>
    <row r="20" customFormat="false" ht="15" hidden="false" customHeight="false" outlineLevel="0" collapsed="false">
      <c r="A20" s="7" t="s">
        <v>433</v>
      </c>
      <c r="B20" s="8"/>
      <c r="C20" s="8"/>
      <c r="D20" s="8"/>
    </row>
    <row r="21" customFormat="false" ht="15" hidden="false" customHeight="false" outlineLevel="0" collapsed="false">
      <c r="A21" s="10" t="s">
        <v>434</v>
      </c>
      <c r="C21" s="18" t="n">
        <f aca="false">05_PEMBANDING!$D$12</f>
        <v>185515.721556035</v>
      </c>
      <c r="D21" s="12" t="s">
        <v>435</v>
      </c>
    </row>
    <row r="22" customFormat="false" ht="16.15" hidden="false" customHeight="false" outlineLevel="0" collapsed="false">
      <c r="A22" s="4" t="s">
        <v>436</v>
      </c>
      <c r="C22" s="50" t="n">
        <f aca="false">MEDIAN($C$24,$C$21,$C$25)</f>
        <v>185515.721556035</v>
      </c>
      <c r="D22" s="12" t="s">
        <v>437</v>
      </c>
    </row>
    <row r="24" customFormat="false" ht="15" hidden="false" customHeight="false" outlineLevel="0" collapsed="false">
      <c r="A24" s="10" t="s">
        <v>438</v>
      </c>
      <c r="C24" s="42" t="n">
        <f aca="false">MAX($C$18*01_ASUMSI!$B$27,$C$21*(1-01_ASUMSI!$B$28))</f>
        <v>157688.36332263</v>
      </c>
      <c r="D24" s="12" t="s">
        <v>100</v>
      </c>
    </row>
    <row r="25" customFormat="false" ht="15" hidden="false" customHeight="false" outlineLevel="0" collapsed="false">
      <c r="A25" s="10" t="s">
        <v>439</v>
      </c>
      <c r="C25" s="42" t="n">
        <f aca="false">01_ASUMSI!$B$30*(1+01_ASUMSI!$B$29)</f>
        <v>252720</v>
      </c>
      <c r="D25" s="12" t="s">
        <v>103</v>
      </c>
    </row>
    <row r="27" customFormat="false" ht="15" hidden="false" customHeight="false" outlineLevel="0" collapsed="false">
      <c r="A27" s="7" t="s">
        <v>440</v>
      </c>
      <c r="B27" s="8"/>
      <c r="C27" s="8"/>
      <c r="D27" s="8"/>
    </row>
    <row r="28" customFormat="false" ht="15" hidden="false" customHeight="false" outlineLevel="0" collapsed="false">
      <c r="A28" s="10" t="s">
        <v>441</v>
      </c>
      <c r="C28" s="18" t="n">
        <f aca="false">01_ASUMSI!$B$21</f>
        <v>185515.721556035</v>
      </c>
    </row>
    <row r="29" customFormat="false" ht="15" hidden="false" customHeight="false" outlineLevel="0" collapsed="false">
      <c r="A29" s="10" t="s">
        <v>442</v>
      </c>
      <c r="C29" s="16" t="n">
        <f aca="false">IFERROR($C$28/$C$13-1,0)</f>
        <v>-0.189490746706575</v>
      </c>
      <c r="D29" s="12" t="s">
        <v>443</v>
      </c>
    </row>
    <row r="30" customFormat="false" ht="15" hidden="false" customHeight="false" outlineLevel="0" collapsed="false">
      <c r="A30" s="10" t="s">
        <v>444</v>
      </c>
      <c r="C30" s="16" t="n">
        <f aca="false">IFERROR($C$28/$C$18-1,0)</f>
        <v>0.137161233754289</v>
      </c>
      <c r="D30" s="12" t="s">
        <v>445</v>
      </c>
    </row>
    <row r="31" customFormat="false" ht="15" hidden="false" customHeight="false" outlineLevel="0" collapsed="false">
      <c r="A31" s="10" t="s">
        <v>446</v>
      </c>
      <c r="C31" s="16" t="n">
        <f aca="false">IFERROR(($C$11+$C$16+$C$17-$C$12)/($C$28*$C$4*12)+$C$6,0)</f>
        <v>0.687727821959235</v>
      </c>
      <c r="D31" s="12" t="s">
        <v>447</v>
      </c>
    </row>
    <row r="32" customFormat="false" ht="15" hidden="false" customHeight="false" outlineLevel="0" collapsed="false">
      <c r="A32" s="4" t="s">
        <v>448</v>
      </c>
      <c r="C32" s="51" t="str">
        <f aca="false">IF(AND($C$28&gt;=$C$24,$C$28&lt;=$C$25),"DI DALAM KORIDOR","DI LUAR KORIDOR — PERIKSA")</f>
        <v>DI DALAM KORIDOR</v>
      </c>
    </row>
    <row r="33" customFormat="false" ht="15" hidden="false" customHeight="false" outlineLevel="0" collapsed="false">
      <c r="A33" s="4" t="s">
        <v>449</v>
      </c>
      <c r="C33" s="51" t="str">
        <f aca="false">IF($C$28&gt;=$C$18*01_ASUMSI!$B$27,"AMAN","DI BAWAH TITIK IMPAS — PERIKSA")</f>
        <v>AMAN</v>
      </c>
    </row>
    <row r="35" customFormat="false" ht="15" hidden="false" customHeight="true" outlineLevel="0" collapsed="false">
      <c r="A35" s="52" t="s">
        <v>450</v>
      </c>
      <c r="B35" s="52"/>
      <c r="C35" s="52"/>
      <c r="D35" s="52"/>
    </row>
    <row r="36" customFormat="false" ht="15" hidden="false" customHeight="false" outlineLevel="0" collapsed="false">
      <c r="A36" s="52"/>
      <c r="B36" s="52"/>
      <c r="C36" s="52"/>
      <c r="D36" s="52"/>
    </row>
    <row r="37" customFormat="false" ht="15" hidden="false" customHeight="false" outlineLevel="0" collapsed="false">
      <c r="A37" s="52"/>
      <c r="B37" s="52"/>
      <c r="C37" s="52"/>
      <c r="D37" s="52"/>
    </row>
  </sheetData>
  <mergeCells count="1">
    <mergeCell ref="A35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26"/>
  </cols>
  <sheetData>
    <row r="1" customFormat="false" ht="24" hidden="false" customHeight="true" outlineLevel="0" collapsed="false">
      <c r="A1" s="1" t="s">
        <v>451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9" t="s">
        <v>452</v>
      </c>
    </row>
    <row r="4" customFormat="false" ht="15" hidden="false" customHeight="false" outlineLevel="0" collapsed="false">
      <c r="A4" s="10" t="s">
        <v>453</v>
      </c>
      <c r="C4" s="53" t="n">
        <f aca="false">06_UJI_KELAYAKAN!$C$24</f>
        <v>157688.36332263</v>
      </c>
    </row>
    <row r="6" customFormat="false" ht="31.5" hidden="false" customHeight="true" outlineLevel="0" collapsed="false">
      <c r="A6" s="25" t="s">
        <v>343</v>
      </c>
      <c r="B6" s="25" t="s">
        <v>345</v>
      </c>
      <c r="C6" s="25" t="s">
        <v>454</v>
      </c>
      <c r="D6" s="25" t="s">
        <v>455</v>
      </c>
      <c r="E6" s="25" t="s">
        <v>456</v>
      </c>
      <c r="F6" s="25" t="s">
        <v>457</v>
      </c>
      <c r="G6" s="25" t="s">
        <v>458</v>
      </c>
      <c r="H6" s="25" t="s">
        <v>459</v>
      </c>
      <c r="I6" s="25" t="s">
        <v>460</v>
      </c>
      <c r="J6" s="25" t="s">
        <v>461</v>
      </c>
      <c r="K6" s="25" t="s">
        <v>462</v>
      </c>
    </row>
    <row r="7" customFormat="false" ht="15" hidden="false" customHeight="false" outlineLevel="0" collapsed="false">
      <c r="A7" s="34" t="str">
        <f aca="false">04_KALKULASI!A9</f>
        <v>MNS-01-03A</v>
      </c>
      <c r="B7" s="36" t="n">
        <f aca="false">04_KALKULASI!C9</f>
        <v>290</v>
      </c>
      <c r="C7" s="36" t="n">
        <f aca="false">04_KALKULASI!S9</f>
        <v>166500</v>
      </c>
      <c r="D7" s="35" t="n">
        <f aca="false">01_ASUMSI!$B$65</f>
        <v>36</v>
      </c>
      <c r="E7" s="35" t="n">
        <f aca="false">01_ASUMSI!$B$66</f>
        <v>2</v>
      </c>
      <c r="F7" s="40" t="n">
        <f aca="false">01_ASUMSI!$B$67*$B7</f>
        <v>72500000</v>
      </c>
      <c r="G7" s="40" t="n">
        <f aca="false">$C7*$B7*$D7*01_ASUMSI!$B$68</f>
        <v>34765200</v>
      </c>
      <c r="H7" s="40" t="n">
        <f aca="false">IFERROR(($C7*($D7-$E7)-($F7+$G7)/$B7)/$D7,0)</f>
        <v>146975.555555556</v>
      </c>
      <c r="I7" s="54" t="n">
        <f aca="false">IFERROR($H7/$C$4-1,0)</f>
        <v>-0.0679365778256933</v>
      </c>
      <c r="J7" s="55" t="n">
        <f aca="false">IFERROR($D7*(1-$C$4/$C7)-($F7+$G7)/($C7*$B7),0)</f>
        <v>-0.316282760448441</v>
      </c>
      <c r="K7" s="37" t="str">
        <f aca="false">IF($H7&gt;=$C$4,"AMAN","NER DI BAWAH BATAS — PERIKSA")</f>
        <v>NER DI BAWAH BATAS — PERIKSA</v>
      </c>
    </row>
    <row r="8" customFormat="false" ht="15" hidden="false" customHeight="false" outlineLevel="0" collapsed="false">
      <c r="A8" s="34" t="str">
        <f aca="false">04_KALKULASI!A10</f>
        <v>MNS-01-03B</v>
      </c>
      <c r="B8" s="36" t="n">
        <f aca="false">04_KALKULASI!C10</f>
        <v>290</v>
      </c>
      <c r="C8" s="36" t="n">
        <f aca="false">04_KALKULASI!S10</f>
        <v>165000</v>
      </c>
      <c r="D8" s="35" t="n">
        <f aca="false">01_ASUMSI!$B$65</f>
        <v>36</v>
      </c>
      <c r="E8" s="35" t="n">
        <f aca="false">01_ASUMSI!$B$66</f>
        <v>2</v>
      </c>
      <c r="F8" s="40" t="n">
        <f aca="false">01_ASUMSI!$B$67*$B8</f>
        <v>72500000</v>
      </c>
      <c r="G8" s="40" t="n">
        <f aca="false">$C8*$B8*$D8*01_ASUMSI!$B$68</f>
        <v>34452000</v>
      </c>
      <c r="H8" s="40" t="n">
        <f aca="false">IFERROR(($C8*($D8-$E8)-($F8+$G8)/$B8)/$D8,0)</f>
        <v>145588.888888889</v>
      </c>
      <c r="I8" s="54" t="n">
        <f aca="false">IFERROR($H8/$C$4-1,0)</f>
        <v>-0.0767302937185368</v>
      </c>
      <c r="J8" s="55" t="n">
        <f aca="false">IFERROR($D8*(1-$C$4/$C8)-($F8+$G8)/($C8*$B8),0)</f>
        <v>-0.639885330997971</v>
      </c>
      <c r="K8" s="37" t="str">
        <f aca="false">IF($H8&gt;=$C$4,"AMAN","NER DI BAWAH BATAS — PERIKSA")</f>
        <v>NER DI BAWAH BATAS — PERIKSA</v>
      </c>
    </row>
    <row r="9" customFormat="false" ht="15" hidden="false" customHeight="false" outlineLevel="0" collapsed="false">
      <c r="A9" s="34" t="str">
        <f aca="false">04_KALKULASI!A11</f>
        <v>MNS-01-03C</v>
      </c>
      <c r="B9" s="36" t="n">
        <f aca="false">04_KALKULASI!C11</f>
        <v>310</v>
      </c>
      <c r="C9" s="36" t="n">
        <f aca="false">04_KALKULASI!S11</f>
        <v>167500</v>
      </c>
      <c r="D9" s="35" t="n">
        <f aca="false">01_ASUMSI!$B$65</f>
        <v>36</v>
      </c>
      <c r="E9" s="35" t="n">
        <f aca="false">01_ASUMSI!$B$66</f>
        <v>2</v>
      </c>
      <c r="F9" s="40" t="n">
        <f aca="false">01_ASUMSI!$B$67*$B9</f>
        <v>77500000</v>
      </c>
      <c r="G9" s="40" t="n">
        <f aca="false">$C9*$B9*$D9*01_ASUMSI!$B$68</f>
        <v>37386000</v>
      </c>
      <c r="H9" s="40" t="n">
        <f aca="false">IFERROR(($C9*($D9-$E9)-($F9+$G9)/$B9)/$D9,0)</f>
        <v>147900</v>
      </c>
      <c r="I9" s="54" t="n">
        <f aca="false">IFERROR($H9/$C$4-1,0)</f>
        <v>-0.0620741005637978</v>
      </c>
      <c r="J9" s="55" t="n">
        <f aca="false">IFERROR($D9*(1-$C$4/$C9)-($F9+$G9)/($C9*$B9),0)</f>
        <v>-0.103767639490539</v>
      </c>
      <c r="K9" s="37" t="str">
        <f aca="false">IF($H9&gt;=$C$4,"AMAN","NER DI BAWAH BATAS — PERIKSA")</f>
        <v>NER DI BAWAH BATAS — PERIKSA</v>
      </c>
    </row>
    <row r="10" customFormat="false" ht="15" hidden="false" customHeight="false" outlineLevel="0" collapsed="false">
      <c r="A10" s="34" t="str">
        <f aca="false">04_KALKULASI!A12</f>
        <v>MNS-01-03D</v>
      </c>
      <c r="B10" s="36" t="n">
        <f aca="false">04_KALKULASI!C12</f>
        <v>310</v>
      </c>
      <c r="C10" s="36" t="n">
        <f aca="false">04_KALKULASI!S12</f>
        <v>157000</v>
      </c>
      <c r="D10" s="35" t="n">
        <f aca="false">01_ASUMSI!$B$65</f>
        <v>36</v>
      </c>
      <c r="E10" s="35" t="n">
        <f aca="false">01_ASUMSI!$B$66</f>
        <v>2</v>
      </c>
      <c r="F10" s="40" t="n">
        <f aca="false">01_ASUMSI!$B$67*$B10</f>
        <v>77500000</v>
      </c>
      <c r="G10" s="40" t="n">
        <f aca="false">$C10*$B10*$D10*01_ASUMSI!$B$68</f>
        <v>35042400</v>
      </c>
      <c r="H10" s="40" t="n">
        <f aca="false">IFERROR(($C10*($D10-$E10)-($F10+$G10)/$B10)/$D10,0)</f>
        <v>138193.333333333</v>
      </c>
      <c r="I10" s="54" t="n">
        <f aca="false">IFERROR($H10/$C$4-1,0)</f>
        <v>-0.123630111813701</v>
      </c>
      <c r="J10" s="55" t="n">
        <f aca="false">IFERROR($D10*(1-$C$4/$C10)-($F10+$G10)/($C10*$B10),0)</f>
        <v>-2.47019795932908</v>
      </c>
      <c r="K10" s="37" t="str">
        <f aca="false">IF($H10&gt;=$C$4,"AMAN","NER DI BAWAH BATAS — PERIKSA")</f>
        <v>NER DI BAWAH BATAS — PERIKSA</v>
      </c>
    </row>
    <row r="11" customFormat="false" ht="15" hidden="false" customHeight="false" outlineLevel="0" collapsed="false">
      <c r="A11" s="34" t="str">
        <f aca="false">04_KALKULASI!A13</f>
        <v>MNS-01-04A</v>
      </c>
      <c r="B11" s="36" t="n">
        <f aca="false">04_KALKULASI!C13</f>
        <v>575</v>
      </c>
      <c r="C11" s="36" t="n">
        <f aca="false">04_KALKULASI!S13</f>
        <v>158500</v>
      </c>
      <c r="D11" s="35" t="n">
        <f aca="false">01_ASUMSI!$B$65</f>
        <v>36</v>
      </c>
      <c r="E11" s="35" t="n">
        <f aca="false">01_ASUMSI!$B$66</f>
        <v>2</v>
      </c>
      <c r="F11" s="40" t="n">
        <f aca="false">01_ASUMSI!$B$67*$B11</f>
        <v>143750000</v>
      </c>
      <c r="G11" s="40" t="n">
        <f aca="false">$C11*$B11*$D11*01_ASUMSI!$B$68</f>
        <v>65619000</v>
      </c>
      <c r="H11" s="40" t="n">
        <f aca="false">IFERROR(($C11*($D11-$E11)-($F11+$G11)/$B11)/$D11,0)</f>
        <v>139580</v>
      </c>
      <c r="I11" s="54" t="n">
        <f aca="false">IFERROR($H11/$C$4-1,0)</f>
        <v>-0.114836395920858</v>
      </c>
      <c r="J11" s="55" t="n">
        <f aca="false">IFERROR($D11*(1-$C$4/$C11)-($F11+$G11)/($C11*$B11),0)</f>
        <v>-2.11294056539221</v>
      </c>
      <c r="K11" s="37" t="str">
        <f aca="false">IF($H11&gt;=$C$4,"AMAN","NER DI BAWAH BATAS — PERIKSA")</f>
        <v>NER DI BAWAH BATAS — PERIKSA</v>
      </c>
    </row>
    <row r="12" customFormat="false" ht="15" hidden="false" customHeight="false" outlineLevel="0" collapsed="false">
      <c r="A12" s="34" t="str">
        <f aca="false">04_KALKULASI!A14</f>
        <v>MNS-01-04B</v>
      </c>
      <c r="B12" s="36" t="n">
        <f aca="false">04_KALKULASI!C14</f>
        <v>625</v>
      </c>
      <c r="C12" s="36" t="n">
        <f aca="false">04_KALKULASI!S14</f>
        <v>160000</v>
      </c>
      <c r="D12" s="35" t="n">
        <f aca="false">01_ASUMSI!$B$65</f>
        <v>36</v>
      </c>
      <c r="E12" s="35" t="n">
        <f aca="false">01_ASUMSI!$B$66</f>
        <v>2</v>
      </c>
      <c r="F12" s="40" t="n">
        <f aca="false">01_ASUMSI!$B$67*$B12</f>
        <v>156250000</v>
      </c>
      <c r="G12" s="40" t="n">
        <f aca="false">$C12*$B12*$D12*01_ASUMSI!$B$68</f>
        <v>72000000</v>
      </c>
      <c r="H12" s="40" t="n">
        <f aca="false">IFERROR(($C12*($D12-$E12)-($F12+$G12)/$B12)/$D12,0)</f>
        <v>140966.666666667</v>
      </c>
      <c r="I12" s="54" t="n">
        <f aca="false">IFERROR($H12/$C$4-1,0)</f>
        <v>-0.106042680028015</v>
      </c>
      <c r="J12" s="55" t="n">
        <f aca="false">IFERROR($D12*(1-$C$4/$C12)-($F12+$G12)/($C12*$B12),0)</f>
        <v>-1.76238174759166</v>
      </c>
      <c r="K12" s="37" t="str">
        <f aca="false">IF($H12&gt;=$C$4,"AMAN","NER DI BAWAH BATAS — PERIKSA")</f>
        <v>NER DI BAWAH BATAS — PERIKSA</v>
      </c>
    </row>
    <row r="13" customFormat="false" ht="15" hidden="false" customHeight="false" outlineLevel="0" collapsed="false">
      <c r="A13" s="34" t="str">
        <f aca="false">04_KALKULASI!A15</f>
        <v>MNS-01-05A</v>
      </c>
      <c r="B13" s="36" t="n">
        <f aca="false">04_KALKULASI!C15</f>
        <v>575</v>
      </c>
      <c r="C13" s="36" t="n">
        <f aca="false">04_KALKULASI!S15</f>
        <v>171000</v>
      </c>
      <c r="D13" s="35" t="n">
        <f aca="false">01_ASUMSI!$B$65</f>
        <v>36</v>
      </c>
      <c r="E13" s="35" t="n">
        <f aca="false">01_ASUMSI!$B$66</f>
        <v>2</v>
      </c>
      <c r="F13" s="40" t="n">
        <f aca="false">01_ASUMSI!$B$67*$B13</f>
        <v>143750000</v>
      </c>
      <c r="G13" s="40" t="n">
        <f aca="false">$C13*$B13*$D13*01_ASUMSI!$B$68</f>
        <v>70794000</v>
      </c>
      <c r="H13" s="40" t="n">
        <f aca="false">IFERROR(($C13*($D13-$E13)-($F13+$G13)/$B13)/$D13,0)</f>
        <v>151135.555555556</v>
      </c>
      <c r="I13" s="54" t="n">
        <f aca="false">IFERROR($H13/$C$4-1,0)</f>
        <v>-0.0415554301471632</v>
      </c>
      <c r="J13" s="55" t="n">
        <f aca="false">IFERROR($D13*(1-$C$4/$C13)-($F13+$G13)/($C13*$B13),0)</f>
        <v>0.620461522721257</v>
      </c>
      <c r="K13" s="37" t="str">
        <f aca="false">IF($H13&gt;=$C$4,"AMAN","NER DI BAWAH BATAS — PERIKSA")</f>
        <v>NER DI BAWAH BATAS — PERIKSA</v>
      </c>
    </row>
    <row r="14" customFormat="false" ht="15" hidden="false" customHeight="false" outlineLevel="0" collapsed="false">
      <c r="A14" s="34" t="str">
        <f aca="false">04_KALKULASI!A16</f>
        <v>MNS-01-05B</v>
      </c>
      <c r="B14" s="36" t="n">
        <f aca="false">04_KALKULASI!C16</f>
        <v>625</v>
      </c>
      <c r="C14" s="36" t="n">
        <f aca="false">04_KALKULASI!S16</f>
        <v>164000</v>
      </c>
      <c r="D14" s="35" t="n">
        <f aca="false">01_ASUMSI!$B$65</f>
        <v>36</v>
      </c>
      <c r="E14" s="35" t="n">
        <f aca="false">01_ASUMSI!$B$66</f>
        <v>2</v>
      </c>
      <c r="F14" s="40" t="n">
        <f aca="false">01_ASUMSI!$B$67*$B14</f>
        <v>156250000</v>
      </c>
      <c r="G14" s="40" t="n">
        <f aca="false">$C14*$B14*$D14*01_ASUMSI!$B$68</f>
        <v>73800000</v>
      </c>
      <c r="H14" s="40" t="n">
        <f aca="false">IFERROR(($C14*($D14-$E14)-($F14+$G14)/$B14)/$D14,0)</f>
        <v>144664.444444444</v>
      </c>
      <c r="I14" s="54" t="n">
        <f aca="false">IFERROR($H14/$C$4-1,0)</f>
        <v>-0.0825927709804324</v>
      </c>
      <c r="J14" s="55" t="n">
        <f aca="false">IFERROR($D14*(1-$C$4/$C14)-($F14+$G14)/($C14*$B14),0)</f>
        <v>-0.858909022040644</v>
      </c>
      <c r="K14" s="37" t="str">
        <f aca="false">IF($H14&gt;=$C$4,"AMAN","NER DI BAWAH BATAS — PERIKSA")</f>
        <v>NER DI BAWAH BATAS — PERIKSA</v>
      </c>
    </row>
    <row r="15" customFormat="false" ht="15" hidden="false" customHeight="false" outlineLevel="0" collapsed="false">
      <c r="A15" s="34" t="str">
        <f aca="false">04_KALKULASI!A17</f>
        <v>MNS-01-06A</v>
      </c>
      <c r="B15" s="36" t="n">
        <f aca="false">04_KALKULASI!C17</f>
        <v>535</v>
      </c>
      <c r="C15" s="36" t="n">
        <f aca="false">04_KALKULASI!S17</f>
        <v>181500</v>
      </c>
      <c r="D15" s="35" t="n">
        <f aca="false">01_ASUMSI!$B$65</f>
        <v>36</v>
      </c>
      <c r="E15" s="35" t="n">
        <f aca="false">01_ASUMSI!$B$66</f>
        <v>2</v>
      </c>
      <c r="F15" s="40" t="n">
        <f aca="false">01_ASUMSI!$B$67*$B15</f>
        <v>133750000</v>
      </c>
      <c r="G15" s="40" t="n">
        <f aca="false">$C15*$B15*$D15*01_ASUMSI!$B$68</f>
        <v>69913800</v>
      </c>
      <c r="H15" s="40" t="n">
        <f aca="false">IFERROR(($C15*($D15-$E15)-($F15+$G15)/$B15)/$D15,0)</f>
        <v>160842.222222222</v>
      </c>
      <c r="I15" s="54" t="n">
        <f aca="false">IFERROR($H15/$C$4-1,0)</f>
        <v>0.0200005811027402</v>
      </c>
      <c r="J15" s="55" t="n">
        <f aca="false">IFERROR($D15*(1-$C$4/$C15)-($F15+$G15)/($C15*$B15),0)</f>
        <v>2.62555879000184</v>
      </c>
      <c r="K15" s="37" t="str">
        <f aca="false">IF($H15&gt;=$C$4,"AMAN","NER DI BAWAH BATAS — PERIKSA")</f>
        <v>AMAN</v>
      </c>
    </row>
    <row r="16" customFormat="false" ht="15" hidden="false" customHeight="false" outlineLevel="0" collapsed="false">
      <c r="A16" s="34" t="str">
        <f aca="false">04_KALKULASI!A18</f>
        <v>MNS-01-06B</v>
      </c>
      <c r="B16" s="36" t="n">
        <f aca="false">04_KALKULASI!C18</f>
        <v>665</v>
      </c>
      <c r="C16" s="36" t="n">
        <f aca="false">04_KALKULASI!S18</f>
        <v>165000</v>
      </c>
      <c r="D16" s="35" t="n">
        <f aca="false">01_ASUMSI!$B$65</f>
        <v>36</v>
      </c>
      <c r="E16" s="35" t="n">
        <f aca="false">01_ASUMSI!$B$66</f>
        <v>2</v>
      </c>
      <c r="F16" s="40" t="n">
        <f aca="false">01_ASUMSI!$B$67*$B16</f>
        <v>166250000</v>
      </c>
      <c r="G16" s="40" t="n">
        <f aca="false">$C16*$B16*$D16*01_ASUMSI!$B$68</f>
        <v>79002000</v>
      </c>
      <c r="H16" s="40" t="n">
        <f aca="false">IFERROR(($C16*($D16-$E16)-($F16+$G16)/$B16)/$D16,0)</f>
        <v>145588.888888889</v>
      </c>
      <c r="I16" s="54" t="n">
        <f aca="false">IFERROR($H16/$C$4-1,0)</f>
        <v>-0.0767302937185368</v>
      </c>
      <c r="J16" s="55" t="n">
        <f aca="false">IFERROR($D16*(1-$C$4/$C16)-($F16+$G16)/($C16*$B16),0)</f>
        <v>-0.639885330997971</v>
      </c>
      <c r="K16" s="37" t="str">
        <f aca="false">IF($H16&gt;=$C$4,"AMAN","NER DI BAWAH BATAS — PERIKSA")</f>
        <v>NER DI BAWAH BATAS — PERIKSA</v>
      </c>
    </row>
    <row r="17" customFormat="false" ht="15" hidden="false" customHeight="false" outlineLevel="0" collapsed="false">
      <c r="A17" s="34" t="str">
        <f aca="false">04_KALKULASI!A19</f>
        <v>MNS-01-07A</v>
      </c>
      <c r="B17" s="36" t="n">
        <f aca="false">04_KALKULASI!C19</f>
        <v>355</v>
      </c>
      <c r="C17" s="36" t="n">
        <f aca="false">04_KALKULASI!S19</f>
        <v>175500</v>
      </c>
      <c r="D17" s="35" t="n">
        <f aca="false">01_ASUMSI!$B$65</f>
        <v>36</v>
      </c>
      <c r="E17" s="35" t="n">
        <f aca="false">01_ASUMSI!$B$66</f>
        <v>2</v>
      </c>
      <c r="F17" s="40" t="n">
        <f aca="false">01_ASUMSI!$B$67*$B17</f>
        <v>88750000</v>
      </c>
      <c r="G17" s="40" t="n">
        <f aca="false">$C17*$B17*$D17*01_ASUMSI!$B$68</f>
        <v>44857800</v>
      </c>
      <c r="H17" s="40" t="n">
        <f aca="false">IFERROR(($C17*($D17-$E17)-($F17+$G17)/$B17)/$D17,0)</f>
        <v>155295.555555556</v>
      </c>
      <c r="I17" s="54" t="n">
        <f aca="false">IFERROR($H17/$C$4-1,0)</f>
        <v>-0.0151742824686332</v>
      </c>
      <c r="J17" s="55" t="n">
        <f aca="false">IFERROR($D17*(1-$C$4/$C17)-($F17+$G17)/($C17*$B17),0)</f>
        <v>1.50916763752327</v>
      </c>
      <c r="K17" s="37" t="str">
        <f aca="false">IF($H17&gt;=$C$4,"AMAN","NER DI BAWAH BATAS — PERIKSA")</f>
        <v>NER DI BAWAH BATAS — PERIKSA</v>
      </c>
    </row>
    <row r="18" customFormat="false" ht="15" hidden="false" customHeight="false" outlineLevel="0" collapsed="false">
      <c r="A18" s="34" t="str">
        <f aca="false">04_KALKULASI!A20</f>
        <v>MNS-01-07B</v>
      </c>
      <c r="B18" s="36" t="n">
        <f aca="false">04_KALKULASI!C20</f>
        <v>390</v>
      </c>
      <c r="C18" s="36" t="n">
        <f aca="false">04_KALKULASI!S20</f>
        <v>189500</v>
      </c>
      <c r="D18" s="35" t="n">
        <f aca="false">01_ASUMSI!$B$65</f>
        <v>36</v>
      </c>
      <c r="E18" s="35" t="n">
        <f aca="false">01_ASUMSI!$B$66</f>
        <v>2</v>
      </c>
      <c r="F18" s="40" t="n">
        <f aca="false">01_ASUMSI!$B$67*$B18</f>
        <v>97500000</v>
      </c>
      <c r="G18" s="40" t="n">
        <f aca="false">$C18*$B18*$D18*01_ASUMSI!$B$68</f>
        <v>53211600</v>
      </c>
      <c r="H18" s="40" t="n">
        <f aca="false">IFERROR(($C18*($D18-$E18)-($F18+$G18)/$B18)/$D18,0)</f>
        <v>168237.777777778</v>
      </c>
      <c r="I18" s="54" t="n">
        <f aca="false">IFERROR($H18/$C$4-1,0)</f>
        <v>0.0669003991979049</v>
      </c>
      <c r="J18" s="55" t="n">
        <f aca="false">IFERROR($D18*(1-$C$4/$C18)-($F18+$G18)/($C18*$B18),0)</f>
        <v>4.00411039781179</v>
      </c>
      <c r="K18" s="37" t="str">
        <f aca="false">IF($H18&gt;=$C$4,"AMAN","NER DI BAWAH BATAS — PERIKSA")</f>
        <v>AMAN</v>
      </c>
    </row>
    <row r="19" customFormat="false" ht="15" hidden="false" customHeight="false" outlineLevel="0" collapsed="false">
      <c r="A19" s="34" t="str">
        <f aca="false">04_KALKULASI!A21</f>
        <v>MNS-01-07C</v>
      </c>
      <c r="B19" s="36" t="n">
        <f aca="false">04_KALKULASI!C21</f>
        <v>455</v>
      </c>
      <c r="C19" s="36" t="n">
        <f aca="false">04_KALKULASI!S21</f>
        <v>173500</v>
      </c>
      <c r="D19" s="35" t="n">
        <f aca="false">01_ASUMSI!$B$65</f>
        <v>36</v>
      </c>
      <c r="E19" s="35" t="n">
        <f aca="false">01_ASUMSI!$B$66</f>
        <v>2</v>
      </c>
      <c r="F19" s="40" t="n">
        <f aca="false">01_ASUMSI!$B$67*$B19</f>
        <v>113750000</v>
      </c>
      <c r="G19" s="40" t="n">
        <f aca="false">$C19*$B19*$D19*01_ASUMSI!$B$68</f>
        <v>56838600</v>
      </c>
      <c r="H19" s="40" t="n">
        <f aca="false">IFERROR(($C19*($D19-$E19)-($F19+$G19)/$B19)/$D19,0)</f>
        <v>153446.666666667</v>
      </c>
      <c r="I19" s="54" t="n">
        <f aca="false">IFERROR($H19/$C$4-1,0)</f>
        <v>-0.0268992369924244</v>
      </c>
      <c r="J19" s="55" t="n">
        <f aca="false">IFERROR($D19*(1-$C$4/$C19)-($F19+$G19)/($C19*$B19),0)</f>
        <v>1.11987850366187</v>
      </c>
      <c r="K19" s="37" t="str">
        <f aca="false">IF($H19&gt;=$C$4,"AMAN","NER DI BAWAH BATAS — PERIKSA")</f>
        <v>NER DI BAWAH BATAS — PERIKSA</v>
      </c>
    </row>
    <row r="20" customFormat="false" ht="15" hidden="false" customHeight="false" outlineLevel="0" collapsed="false">
      <c r="A20" s="34" t="str">
        <f aca="false">04_KALKULASI!A22</f>
        <v>MNS-01-08A</v>
      </c>
      <c r="B20" s="36" t="n">
        <f aca="false">04_KALKULASI!C22</f>
        <v>380</v>
      </c>
      <c r="C20" s="36" t="n">
        <f aca="false">04_KALKULASI!S22</f>
        <v>185000</v>
      </c>
      <c r="D20" s="35" t="n">
        <f aca="false">01_ASUMSI!$B$65</f>
        <v>36</v>
      </c>
      <c r="E20" s="35" t="n">
        <f aca="false">01_ASUMSI!$B$66</f>
        <v>2</v>
      </c>
      <c r="F20" s="40" t="n">
        <f aca="false">01_ASUMSI!$B$67*$B20</f>
        <v>95000000</v>
      </c>
      <c r="G20" s="40" t="n">
        <f aca="false">$C20*$B20*$D20*01_ASUMSI!$B$68</f>
        <v>50616000</v>
      </c>
      <c r="H20" s="40" t="n">
        <f aca="false">IFERROR(($C20*($D20-$E20)-($F20+$G20)/$B20)/$D20,0)</f>
        <v>164077.777777778</v>
      </c>
      <c r="I20" s="54" t="n">
        <f aca="false">IFERROR($H20/$C$4-1,0)</f>
        <v>0.0405192515193749</v>
      </c>
      <c r="J20" s="55" t="n">
        <f aca="false">IFERROR($D20*(1-$C$4/$C20)-($F20+$G20)/($C20*$B20),0)</f>
        <v>3.2433455155964</v>
      </c>
      <c r="K20" s="37" t="str">
        <f aca="false">IF($H20&gt;=$C$4,"AMAN","NER DI BAWAH BATAS — PERIKSA")</f>
        <v>AMAN</v>
      </c>
    </row>
    <row r="21" customFormat="false" ht="15" hidden="false" customHeight="false" outlineLevel="0" collapsed="false">
      <c r="A21" s="34" t="str">
        <f aca="false">04_KALKULASI!A23</f>
        <v>MNS-01-08B</v>
      </c>
      <c r="B21" s="36" t="n">
        <f aca="false">04_KALKULASI!C23</f>
        <v>445</v>
      </c>
      <c r="C21" s="36" t="n">
        <f aca="false">04_KALKULASI!S23</f>
        <v>164500</v>
      </c>
      <c r="D21" s="35" t="n">
        <f aca="false">01_ASUMSI!$B$65</f>
        <v>36</v>
      </c>
      <c r="E21" s="35" t="n">
        <f aca="false">01_ASUMSI!$B$66</f>
        <v>2</v>
      </c>
      <c r="F21" s="40" t="n">
        <f aca="false">01_ASUMSI!$B$67*$B21</f>
        <v>111250000</v>
      </c>
      <c r="G21" s="40" t="n">
        <f aca="false">$C21*$B21*$D21*01_ASUMSI!$B$68</f>
        <v>52705800</v>
      </c>
      <c r="H21" s="40" t="n">
        <f aca="false">IFERROR(($C21*($D21-$E21)-($F21+$G21)/$B21)/$D21,0)</f>
        <v>145126.666666667</v>
      </c>
      <c r="I21" s="54" t="n">
        <f aca="false">IFERROR($H21/$C$4-1,0)</f>
        <v>-0.0796615323494846</v>
      </c>
      <c r="J21" s="55" t="n">
        <f aca="false">IFERROR($D21*(1-$C$4/$C21)-($F21+$G21)/($C21*$B21),0)</f>
        <v>-0.749064313766963</v>
      </c>
      <c r="K21" s="37" t="str">
        <f aca="false">IF($H21&gt;=$C$4,"AMAN","NER DI BAWAH BATAS — PERIKSA")</f>
        <v>NER DI BAWAH BATAS — PERIKSA</v>
      </c>
    </row>
    <row r="22" customFormat="false" ht="15" hidden="false" customHeight="false" outlineLevel="0" collapsed="false">
      <c r="A22" s="34" t="str">
        <f aca="false">04_KALKULASI!A24</f>
        <v>MNS-01-08C</v>
      </c>
      <c r="B22" s="36" t="n">
        <f aca="false">04_KALKULASI!C24</f>
        <v>375</v>
      </c>
      <c r="C22" s="36" t="n">
        <f aca="false">04_KALKULASI!S24</f>
        <v>195000</v>
      </c>
      <c r="D22" s="35" t="n">
        <f aca="false">01_ASUMSI!$B$65</f>
        <v>36</v>
      </c>
      <c r="E22" s="35" t="n">
        <f aca="false">01_ASUMSI!$B$66</f>
        <v>2</v>
      </c>
      <c r="F22" s="40" t="n">
        <f aca="false">01_ASUMSI!$B$67*$B22</f>
        <v>93750000</v>
      </c>
      <c r="G22" s="40" t="n">
        <f aca="false">$C22*$B22*$D22*01_ASUMSI!$B$68</f>
        <v>52650000</v>
      </c>
      <c r="H22" s="40" t="n">
        <f aca="false">IFERROR(($C22*($D22-$E22)-($F22+$G22)/$B22)/$D22,0)</f>
        <v>173322.222222222</v>
      </c>
      <c r="I22" s="54" t="n">
        <f aca="false">IFERROR($H22/$C$4-1,0)</f>
        <v>0.0991440241383306</v>
      </c>
      <c r="J22" s="55" t="n">
        <f aca="false">IFERROR($D22*(1-$C$4/$C22)-($F22+$G22)/($C22*$B22),0)</f>
        <v>4.88625087377095</v>
      </c>
      <c r="K22" s="37" t="str">
        <f aca="false">IF($H22&gt;=$C$4,"AMAN","NER DI BAWAH BATAS — PERIKSA")</f>
        <v>AMAN</v>
      </c>
    </row>
    <row r="23" customFormat="false" ht="15" hidden="false" customHeight="false" outlineLevel="0" collapsed="false">
      <c r="A23" s="34" t="str">
        <f aca="false">04_KALKULASI!A25</f>
        <v>MNS-01-09A</v>
      </c>
      <c r="B23" s="36" t="n">
        <f aca="false">04_KALKULASI!C25</f>
        <v>290</v>
      </c>
      <c r="C23" s="36" t="n">
        <f aca="false">04_KALKULASI!S25</f>
        <v>191500</v>
      </c>
      <c r="D23" s="35" t="n">
        <f aca="false">01_ASUMSI!$B$65</f>
        <v>36</v>
      </c>
      <c r="E23" s="35" t="n">
        <f aca="false">01_ASUMSI!$B$66</f>
        <v>2</v>
      </c>
      <c r="F23" s="40" t="n">
        <f aca="false">01_ASUMSI!$B$67*$B23</f>
        <v>72500000</v>
      </c>
      <c r="G23" s="40" t="n">
        <f aca="false">$C23*$B23*$D23*01_ASUMSI!$B$68</f>
        <v>39985200</v>
      </c>
      <c r="H23" s="40" t="n">
        <f aca="false">IFERROR(($C23*($D23-$E23)-($F23+$G23)/$B23)/$D23,0)</f>
        <v>170086.666666667</v>
      </c>
      <c r="I23" s="54" t="n">
        <f aca="false">IFERROR($H23/$C$4-1,0)</f>
        <v>0.0786253537216959</v>
      </c>
      <c r="J23" s="55" t="n">
        <f aca="false">IFERROR($D23*(1-$C$4/$C23)-($F23+$G23)/($C23*$B23),0)</f>
        <v>4.33075154248216</v>
      </c>
      <c r="K23" s="37" t="str">
        <f aca="false">IF($H23&gt;=$C$4,"AMAN","NER DI BAWAH BATAS — PERIKSA")</f>
        <v>AMAN</v>
      </c>
    </row>
    <row r="24" customFormat="false" ht="15" hidden="false" customHeight="false" outlineLevel="0" collapsed="false">
      <c r="A24" s="34" t="str">
        <f aca="false">04_KALKULASI!A26</f>
        <v>MNS-01-09B</v>
      </c>
      <c r="B24" s="36" t="n">
        <f aca="false">04_KALKULASI!C26</f>
        <v>285</v>
      </c>
      <c r="C24" s="36" t="n">
        <f aca="false">04_KALKULASI!S26</f>
        <v>189500</v>
      </c>
      <c r="D24" s="35" t="n">
        <f aca="false">01_ASUMSI!$B$65</f>
        <v>36</v>
      </c>
      <c r="E24" s="35" t="n">
        <f aca="false">01_ASUMSI!$B$66</f>
        <v>2</v>
      </c>
      <c r="F24" s="40" t="n">
        <f aca="false">01_ASUMSI!$B$67*$B24</f>
        <v>71250000</v>
      </c>
      <c r="G24" s="40" t="n">
        <f aca="false">$C24*$B24*$D24*01_ASUMSI!$B$68</f>
        <v>38885400</v>
      </c>
      <c r="H24" s="40" t="n">
        <f aca="false">IFERROR(($C24*($D24-$E24)-($F24+$G24)/$B24)/$D24,0)</f>
        <v>168237.777777778</v>
      </c>
      <c r="I24" s="54" t="n">
        <f aca="false">IFERROR($H24/$C$4-1,0)</f>
        <v>0.0669003991979049</v>
      </c>
      <c r="J24" s="55" t="n">
        <f aca="false">IFERROR($D24*(1-$C$4/$C24)-($F24+$G24)/($C24*$B24),0)</f>
        <v>4.00411039781179</v>
      </c>
      <c r="K24" s="37" t="str">
        <f aca="false">IF($H24&gt;=$C$4,"AMAN","NER DI BAWAH BATAS — PERIKSA")</f>
        <v>AMAN</v>
      </c>
    </row>
    <row r="25" customFormat="false" ht="15" hidden="false" customHeight="false" outlineLevel="0" collapsed="false">
      <c r="A25" s="34" t="str">
        <f aca="false">04_KALKULASI!A27</f>
        <v>MNS-01-09C</v>
      </c>
      <c r="B25" s="36" t="n">
        <f aca="false">04_KALKULASI!C27</f>
        <v>290</v>
      </c>
      <c r="C25" s="36" t="n">
        <f aca="false">04_KALKULASI!S27</f>
        <v>176000</v>
      </c>
      <c r="D25" s="35" t="n">
        <f aca="false">01_ASUMSI!$B$65</f>
        <v>36</v>
      </c>
      <c r="E25" s="35" t="n">
        <f aca="false">01_ASUMSI!$B$66</f>
        <v>2</v>
      </c>
      <c r="F25" s="40" t="n">
        <f aca="false">01_ASUMSI!$B$67*$B25</f>
        <v>72500000</v>
      </c>
      <c r="G25" s="40" t="n">
        <f aca="false">$C25*$B25*$D25*01_ASUMSI!$B$68</f>
        <v>36748800</v>
      </c>
      <c r="H25" s="40" t="n">
        <f aca="false">IFERROR(($C25*($D25-$E25)-($F25+$G25)/$B25)/$D25,0)</f>
        <v>155757.777777778</v>
      </c>
      <c r="I25" s="54" t="n">
        <f aca="false">IFERROR($H25/$C$4-1,0)</f>
        <v>-0.0122430438376854</v>
      </c>
      <c r="J25" s="55" t="n">
        <f aca="false">IFERROR($D25*(1-$C$4/$C25)-($F25+$G25)/($C25*$B25),0)</f>
        <v>1.6051075021894</v>
      </c>
      <c r="K25" s="37" t="str">
        <f aca="false">IF($H25&gt;=$C$4,"AMAN","NER DI BAWAH BATAS — PERIKSA")</f>
        <v>NER DI BAWAH BATAS — PERIKSA</v>
      </c>
    </row>
    <row r="26" customFormat="false" ht="15" hidden="false" customHeight="false" outlineLevel="0" collapsed="false">
      <c r="A26" s="34" t="str">
        <f aca="false">04_KALKULASI!A28</f>
        <v>MNS-01-09D</v>
      </c>
      <c r="B26" s="36" t="n">
        <f aca="false">04_KALKULASI!C28</f>
        <v>335</v>
      </c>
      <c r="C26" s="36" t="n">
        <f aca="false">04_KALKULASI!S28</f>
        <v>173500</v>
      </c>
      <c r="D26" s="35" t="n">
        <f aca="false">01_ASUMSI!$B$65</f>
        <v>36</v>
      </c>
      <c r="E26" s="35" t="n">
        <f aca="false">01_ASUMSI!$B$66</f>
        <v>2</v>
      </c>
      <c r="F26" s="40" t="n">
        <f aca="false">01_ASUMSI!$B$67*$B26</f>
        <v>83750000</v>
      </c>
      <c r="G26" s="40" t="n">
        <f aca="false">$C26*$B26*$D26*01_ASUMSI!$B$68</f>
        <v>41848200</v>
      </c>
      <c r="H26" s="40" t="n">
        <f aca="false">IFERROR(($C26*($D26-$E26)-($F26+$G26)/$B26)/$D26,0)</f>
        <v>153446.666666667</v>
      </c>
      <c r="I26" s="54" t="n">
        <f aca="false">IFERROR($H26/$C$4-1,0)</f>
        <v>-0.0268992369924244</v>
      </c>
      <c r="J26" s="55" t="n">
        <f aca="false">IFERROR($D26*(1-$C$4/$C26)-($F26+$G26)/($C26*$B26),0)</f>
        <v>1.11987850366187</v>
      </c>
      <c r="K26" s="37" t="str">
        <f aca="false">IF($H26&gt;=$C$4,"AMAN","NER DI BAWAH BATAS — PERIKSA")</f>
        <v>NER DI BAWAH BATAS — PERIKSA</v>
      </c>
    </row>
    <row r="27" customFormat="false" ht="15" hidden="false" customHeight="false" outlineLevel="0" collapsed="false">
      <c r="A27" s="34" t="str">
        <f aca="false">04_KALKULASI!A29</f>
        <v>MNS-01-10A</v>
      </c>
      <c r="B27" s="36" t="n">
        <f aca="false">04_KALKULASI!C29</f>
        <v>255</v>
      </c>
      <c r="C27" s="36" t="n">
        <f aca="false">04_KALKULASI!S29</f>
        <v>183500</v>
      </c>
      <c r="D27" s="35" t="n">
        <f aca="false">01_ASUMSI!$B$65</f>
        <v>36</v>
      </c>
      <c r="E27" s="35" t="n">
        <f aca="false">01_ASUMSI!$B$66</f>
        <v>2</v>
      </c>
      <c r="F27" s="40" t="n">
        <f aca="false">01_ASUMSI!$B$67*$B27</f>
        <v>63750000</v>
      </c>
      <c r="G27" s="40" t="n">
        <f aca="false">$C27*$B27*$D27*01_ASUMSI!$B$68</f>
        <v>33690600</v>
      </c>
      <c r="H27" s="40" t="n">
        <f aca="false">IFERROR(($C27*($D27-$E27)-($F27+$G27)/$B27)/$D27,0)</f>
        <v>162691.111111111</v>
      </c>
      <c r="I27" s="54" t="n">
        <f aca="false">IFERROR($H27/$C$4-1,0)</f>
        <v>0.0317255356265316</v>
      </c>
      <c r="J27" s="55" t="n">
        <f aca="false">IFERROR($D27*(1-$C$4/$C27)-($F27+$G27)/($C27*$B27),0)</f>
        <v>2.98146550618711</v>
      </c>
      <c r="K27" s="37" t="str">
        <f aca="false">IF($H27&gt;=$C$4,"AMAN","NER DI BAWAH BATAS — PERIKSA")</f>
        <v>AMAN</v>
      </c>
    </row>
    <row r="28" customFormat="false" ht="15" hidden="false" customHeight="false" outlineLevel="0" collapsed="false">
      <c r="A28" s="34" t="str">
        <f aca="false">04_KALKULASI!A30</f>
        <v>MNS-01-10B</v>
      </c>
      <c r="B28" s="36" t="n">
        <f aca="false">04_KALKULASI!C30</f>
        <v>300</v>
      </c>
      <c r="C28" s="36" t="n">
        <f aca="false">04_KALKULASI!S30</f>
        <v>171500</v>
      </c>
      <c r="D28" s="35" t="n">
        <f aca="false">01_ASUMSI!$B$65</f>
        <v>36</v>
      </c>
      <c r="E28" s="35" t="n">
        <f aca="false">01_ASUMSI!$B$66</f>
        <v>2</v>
      </c>
      <c r="F28" s="40" t="n">
        <f aca="false">01_ASUMSI!$B$67*$B28</f>
        <v>75000000</v>
      </c>
      <c r="G28" s="40" t="n">
        <f aca="false">$C28*$B28*$D28*01_ASUMSI!$B$68</f>
        <v>37044000</v>
      </c>
      <c r="H28" s="40" t="n">
        <f aca="false">IFERROR(($C28*($D28-$E28)-($F28+$G28)/$B28)/$D28,0)</f>
        <v>151597.777777778</v>
      </c>
      <c r="I28" s="54" t="n">
        <f aca="false">IFERROR($H28/$C$4-1,0)</f>
        <v>-0.0386241915162154</v>
      </c>
      <c r="J28" s="55" t="n">
        <f aca="false">IFERROR($D28*(1-$C$4/$C28)-($F28+$G28)/($C28*$B28),0)</f>
        <v>0.721509739856179</v>
      </c>
      <c r="K28" s="37" t="str">
        <f aca="false">IF($H28&gt;=$C$4,"AMAN","NER DI BAWAH BATAS — PERIKSA")</f>
        <v>NER DI BAWAH BATAS — PERIKSA</v>
      </c>
    </row>
    <row r="29" customFormat="false" ht="15" hidden="false" customHeight="false" outlineLevel="0" collapsed="false">
      <c r="A29" s="34" t="str">
        <f aca="false">04_KALKULASI!A31</f>
        <v>MNS-01-10C</v>
      </c>
      <c r="B29" s="36" t="n">
        <f aca="false">04_KALKULASI!C31</f>
        <v>330</v>
      </c>
      <c r="C29" s="36" t="n">
        <f aca="false">04_KALKULASI!S31</f>
        <v>176000</v>
      </c>
      <c r="D29" s="35" t="n">
        <f aca="false">01_ASUMSI!$B$65</f>
        <v>36</v>
      </c>
      <c r="E29" s="35" t="n">
        <f aca="false">01_ASUMSI!$B$66</f>
        <v>2</v>
      </c>
      <c r="F29" s="40" t="n">
        <f aca="false">01_ASUMSI!$B$67*$B29</f>
        <v>82500000</v>
      </c>
      <c r="G29" s="40" t="n">
        <f aca="false">$C29*$B29*$D29*01_ASUMSI!$B$68</f>
        <v>41817600</v>
      </c>
      <c r="H29" s="40" t="n">
        <f aca="false">IFERROR(($C29*($D29-$E29)-($F29+$G29)/$B29)/$D29,0)</f>
        <v>155757.777777778</v>
      </c>
      <c r="I29" s="54" t="n">
        <f aca="false">IFERROR($H29/$C$4-1,0)</f>
        <v>-0.0122430438376854</v>
      </c>
      <c r="J29" s="55" t="n">
        <f aca="false">IFERROR($D29*(1-$C$4/$C29)-($F29+$G29)/($C29*$B29),0)</f>
        <v>1.6051075021894</v>
      </c>
      <c r="K29" s="37" t="str">
        <f aca="false">IF($H29&gt;=$C$4,"AMAN","NER DI BAWAH BATAS — PERIKSA")</f>
        <v>NER DI BAWAH BATAS — PERIKSA</v>
      </c>
    </row>
    <row r="30" customFormat="false" ht="15" hidden="false" customHeight="false" outlineLevel="0" collapsed="false">
      <c r="A30" s="34" t="str">
        <f aca="false">04_KALKULASI!A32</f>
        <v>MNS-01-10D</v>
      </c>
      <c r="B30" s="36" t="n">
        <f aca="false">04_KALKULASI!C32</f>
        <v>315</v>
      </c>
      <c r="C30" s="36" t="n">
        <f aca="false">04_KALKULASI!S32</f>
        <v>173500</v>
      </c>
      <c r="D30" s="35" t="n">
        <f aca="false">01_ASUMSI!$B$65</f>
        <v>36</v>
      </c>
      <c r="E30" s="35" t="n">
        <f aca="false">01_ASUMSI!$B$66</f>
        <v>2</v>
      </c>
      <c r="F30" s="40" t="n">
        <f aca="false">01_ASUMSI!$B$67*$B30</f>
        <v>78750000</v>
      </c>
      <c r="G30" s="40" t="n">
        <f aca="false">$C30*$B30*$D30*01_ASUMSI!$B$68</f>
        <v>39349800</v>
      </c>
      <c r="H30" s="40" t="n">
        <f aca="false">IFERROR(($C30*($D30-$E30)-($F30+$G30)/$B30)/$D30,0)</f>
        <v>153446.666666667</v>
      </c>
      <c r="I30" s="54" t="n">
        <f aca="false">IFERROR($H30/$C$4-1,0)</f>
        <v>-0.0268992369924244</v>
      </c>
      <c r="J30" s="55" t="n">
        <f aca="false">IFERROR($D30*(1-$C$4/$C30)-($F30+$G30)/($C30*$B30),0)</f>
        <v>1.11987850366187</v>
      </c>
      <c r="K30" s="37" t="str">
        <f aca="false">IF($H30&gt;=$C$4,"AMAN","NER DI BAWAH BATAS — PERIKSA")</f>
        <v>NER DI BAWAH BATAS — PERIKSA</v>
      </c>
    </row>
    <row r="31" customFormat="false" ht="15" hidden="false" customHeight="false" outlineLevel="0" collapsed="false">
      <c r="A31" s="34" t="str">
        <f aca="false">04_KALKULASI!A33</f>
        <v>MNS-01-11A</v>
      </c>
      <c r="B31" s="36" t="n">
        <f aca="false">04_KALKULASI!C33</f>
        <v>440</v>
      </c>
      <c r="C31" s="36" t="n">
        <f aca="false">04_KALKULASI!S33</f>
        <v>179000</v>
      </c>
      <c r="D31" s="35" t="n">
        <f aca="false">01_ASUMSI!$B$65</f>
        <v>36</v>
      </c>
      <c r="E31" s="35" t="n">
        <f aca="false">01_ASUMSI!$B$66</f>
        <v>2</v>
      </c>
      <c r="F31" s="40" t="n">
        <f aca="false">01_ASUMSI!$B$67*$B31</f>
        <v>110000000</v>
      </c>
      <c r="G31" s="40" t="n">
        <f aca="false">$C31*$B31*$D31*01_ASUMSI!$B$68</f>
        <v>56707200</v>
      </c>
      <c r="H31" s="40" t="n">
        <f aca="false">IFERROR(($C31*($D31-$E31)-($F31+$G31)/$B31)/$D31,0)</f>
        <v>158531.111111111</v>
      </c>
      <c r="I31" s="54" t="n">
        <f aca="false">IFERROR($H31/$C$4-1,0)</f>
        <v>0.00534438794800152</v>
      </c>
      <c r="J31" s="55" t="n">
        <f aca="false">IFERROR($D31*(1-$C$4/$C31)-($F31+$G31)/($C31*$B31),0)</f>
        <v>2.16949117533706</v>
      </c>
      <c r="K31" s="37" t="str">
        <f aca="false">IF($H31&gt;=$C$4,"AMAN","NER DI BAWAH BATAS — PERIKSA")</f>
        <v>AMAN</v>
      </c>
    </row>
    <row r="32" customFormat="false" ht="15" hidden="false" customHeight="false" outlineLevel="0" collapsed="false">
      <c r="A32" s="34" t="str">
        <f aca="false">04_KALKULASI!A34</f>
        <v>MNS-01-11B</v>
      </c>
      <c r="B32" s="36" t="n">
        <f aca="false">04_KALKULASI!C34</f>
        <v>310</v>
      </c>
      <c r="C32" s="36" t="n">
        <f aca="false">04_KALKULASI!S34</f>
        <v>172000</v>
      </c>
      <c r="D32" s="35" t="n">
        <f aca="false">01_ASUMSI!$B$65</f>
        <v>36</v>
      </c>
      <c r="E32" s="35" t="n">
        <f aca="false">01_ASUMSI!$B$66</f>
        <v>2</v>
      </c>
      <c r="F32" s="40" t="n">
        <f aca="false">01_ASUMSI!$B$67*$B32</f>
        <v>77500000</v>
      </c>
      <c r="G32" s="40" t="n">
        <f aca="false">$C32*$B32*$D32*01_ASUMSI!$B$68</f>
        <v>38390400</v>
      </c>
      <c r="H32" s="40" t="n">
        <f aca="false">IFERROR(($C32*($D32-$E32)-($F32+$G32)/$B32)/$D32,0)</f>
        <v>152060</v>
      </c>
      <c r="I32" s="54" t="n">
        <f aca="false">IFERROR($H32/$C$4-1,0)</f>
        <v>-0.0356929528852678</v>
      </c>
      <c r="J32" s="55" t="n">
        <f aca="false">IFERROR($D32*(1-$C$4/$C32)-($F32+$G32)/($C32*$B32),0)</f>
        <v>0.821970467356596</v>
      </c>
      <c r="K32" s="37" t="str">
        <f aca="false">IF($H32&gt;=$C$4,"AMAN","NER DI BAWAH BATAS — PERIKSA")</f>
        <v>NER DI BAWAH BATAS — PERIKSA</v>
      </c>
    </row>
    <row r="33" customFormat="false" ht="15" hidden="false" customHeight="false" outlineLevel="0" collapsed="false">
      <c r="A33" s="34" t="str">
        <f aca="false">04_KALKULASI!A35</f>
        <v>MNS-01-11C</v>
      </c>
      <c r="B33" s="36" t="n">
        <f aca="false">04_KALKULASI!C35</f>
        <v>450</v>
      </c>
      <c r="C33" s="36" t="n">
        <f aca="false">04_KALKULASI!S35</f>
        <v>172500</v>
      </c>
      <c r="D33" s="35" t="n">
        <f aca="false">01_ASUMSI!$B$65</f>
        <v>36</v>
      </c>
      <c r="E33" s="35" t="n">
        <f aca="false">01_ASUMSI!$B$66</f>
        <v>2</v>
      </c>
      <c r="F33" s="40" t="n">
        <f aca="false">01_ASUMSI!$B$67*$B33</f>
        <v>112500000</v>
      </c>
      <c r="G33" s="40" t="n">
        <f aca="false">$C33*$B33*$D33*01_ASUMSI!$B$68</f>
        <v>55890000</v>
      </c>
      <c r="H33" s="40" t="n">
        <f aca="false">IFERROR(($C33*($D33-$E33)-($F33+$G33)/$B33)/$D33,0)</f>
        <v>152522.222222222</v>
      </c>
      <c r="I33" s="54" t="n">
        <f aca="false">IFERROR($H33/$C$4-1,0)</f>
        <v>-0.03276171425432</v>
      </c>
      <c r="J33" s="55" t="n">
        <f aca="false">IFERROR($D33*(1-$C$4/$C33)-($F33+$G33)/($C33*$B33),0)</f>
        <v>0.921848813828027</v>
      </c>
      <c r="K33" s="37" t="str">
        <f aca="false">IF($H33&gt;=$C$4,"AMAN","NER DI BAWAH BATAS — PERIKSA")</f>
        <v>NER DI BAWAH BATAS — PERIKSA</v>
      </c>
    </row>
    <row r="34" customFormat="false" ht="15" hidden="false" customHeight="false" outlineLevel="0" collapsed="false">
      <c r="A34" s="34" t="str">
        <f aca="false">04_KALKULASI!A36</f>
        <v>MNS-01-12A</v>
      </c>
      <c r="B34" s="36" t="n">
        <f aca="false">04_KALKULASI!C36</f>
        <v>320</v>
      </c>
      <c r="C34" s="36" t="n">
        <f aca="false">04_KALKULASI!S36</f>
        <v>189000</v>
      </c>
      <c r="D34" s="35" t="n">
        <f aca="false">01_ASUMSI!$B$65</f>
        <v>36</v>
      </c>
      <c r="E34" s="35" t="n">
        <f aca="false">01_ASUMSI!$B$66</f>
        <v>2</v>
      </c>
      <c r="F34" s="40" t="n">
        <f aca="false">01_ASUMSI!$B$67*$B34</f>
        <v>80000000</v>
      </c>
      <c r="G34" s="40" t="n">
        <f aca="false">$C34*$B34*$D34*01_ASUMSI!$B$68</f>
        <v>43545600</v>
      </c>
      <c r="H34" s="40" t="n">
        <f aca="false">IFERROR(($C34*($D34-$E34)-($F34+$G34)/$B34)/$D34,0)</f>
        <v>167775.555555556</v>
      </c>
      <c r="I34" s="54" t="n">
        <f aca="false">IFERROR($H34/$C$4-1,0)</f>
        <v>0.0639691605669572</v>
      </c>
      <c r="J34" s="55" t="n">
        <f aca="false">IFERROR($D34*(1-$C$4/$C34)-($F34+$G34)/($C34*$B34),0)</f>
        <v>3.92136994912875</v>
      </c>
      <c r="K34" s="37" t="str">
        <f aca="false">IF($H34&gt;=$C$4,"AMAN","NER DI BAWAH BATAS — PERIKSA")</f>
        <v>AMAN</v>
      </c>
    </row>
    <row r="35" customFormat="false" ht="15" hidden="false" customHeight="false" outlineLevel="0" collapsed="false">
      <c r="A35" s="34" t="str">
        <f aca="false">04_KALKULASI!A37</f>
        <v>MNS-01-12B</v>
      </c>
      <c r="B35" s="36" t="n">
        <f aca="false">04_KALKULASI!C37</f>
        <v>315</v>
      </c>
      <c r="C35" s="36" t="n">
        <f aca="false">04_KALKULASI!S37</f>
        <v>183500</v>
      </c>
      <c r="D35" s="35" t="n">
        <f aca="false">01_ASUMSI!$B$65</f>
        <v>36</v>
      </c>
      <c r="E35" s="35" t="n">
        <f aca="false">01_ASUMSI!$B$66</f>
        <v>2</v>
      </c>
      <c r="F35" s="40" t="n">
        <f aca="false">01_ASUMSI!$B$67*$B35</f>
        <v>78750000</v>
      </c>
      <c r="G35" s="40" t="n">
        <f aca="false">$C35*$B35*$D35*01_ASUMSI!$B$68</f>
        <v>41617800</v>
      </c>
      <c r="H35" s="40" t="n">
        <f aca="false">IFERROR(($C35*($D35-$E35)-($F35+$G35)/$B35)/$D35,0)</f>
        <v>162691.111111111</v>
      </c>
      <c r="I35" s="54" t="n">
        <f aca="false">IFERROR($H35/$C$4-1,0)</f>
        <v>0.0317255356265316</v>
      </c>
      <c r="J35" s="55" t="n">
        <f aca="false">IFERROR($D35*(1-$C$4/$C35)-($F35+$G35)/($C35*$B35),0)</f>
        <v>2.98146550618711</v>
      </c>
      <c r="K35" s="37" t="str">
        <f aca="false">IF($H35&gt;=$C$4,"AMAN","NER DI BAWAH BATAS — PERIKSA")</f>
        <v>AMAN</v>
      </c>
    </row>
    <row r="36" customFormat="false" ht="15" hidden="false" customHeight="false" outlineLevel="0" collapsed="false">
      <c r="A36" s="34" t="str">
        <f aca="false">04_KALKULASI!A38</f>
        <v>MNS-01-12C</v>
      </c>
      <c r="B36" s="36" t="n">
        <f aca="false">04_KALKULASI!C38</f>
        <v>240</v>
      </c>
      <c r="C36" s="36" t="n">
        <f aca="false">04_KALKULASI!S38</f>
        <v>182500</v>
      </c>
      <c r="D36" s="35" t="n">
        <f aca="false">01_ASUMSI!$B$65</f>
        <v>36</v>
      </c>
      <c r="E36" s="35" t="n">
        <f aca="false">01_ASUMSI!$B$66</f>
        <v>2</v>
      </c>
      <c r="F36" s="40" t="n">
        <f aca="false">01_ASUMSI!$B$67*$B36</f>
        <v>60000000</v>
      </c>
      <c r="G36" s="40" t="n">
        <f aca="false">$C36*$B36*$D36*01_ASUMSI!$B$68</f>
        <v>31536000</v>
      </c>
      <c r="H36" s="40" t="n">
        <f aca="false">IFERROR(($C36*($D36-$E36)-($F36+$G36)/$B36)/$D36,0)</f>
        <v>161766.666666667</v>
      </c>
      <c r="I36" s="54" t="n">
        <f aca="false">IFERROR($H36/$C$4-1,0)</f>
        <v>0.0258630583646358</v>
      </c>
      <c r="J36" s="55" t="n">
        <f aca="false">IFERROR($D36*(1-$C$4/$C36)-($F36+$G36)/($C36*$B36),0)</f>
        <v>2.80448723498813</v>
      </c>
      <c r="K36" s="37" t="str">
        <f aca="false">IF($H36&gt;=$C$4,"AMAN","NER DI BAWAH BATAS — PERIKSA")</f>
        <v>AMAN</v>
      </c>
    </row>
    <row r="37" customFormat="false" ht="15" hidden="false" customHeight="false" outlineLevel="0" collapsed="false">
      <c r="A37" s="34" t="str">
        <f aca="false">04_KALKULASI!A39</f>
        <v>MNS-01-12D</v>
      </c>
      <c r="B37" s="36" t="n">
        <f aca="false">04_KALKULASI!C39</f>
        <v>325</v>
      </c>
      <c r="C37" s="36" t="n">
        <f aca="false">04_KALKULASI!S39</f>
        <v>184000</v>
      </c>
      <c r="D37" s="35" t="n">
        <f aca="false">01_ASUMSI!$B$65</f>
        <v>36</v>
      </c>
      <c r="E37" s="35" t="n">
        <f aca="false">01_ASUMSI!$B$66</f>
        <v>2</v>
      </c>
      <c r="F37" s="40" t="n">
        <f aca="false">01_ASUMSI!$B$67*$B37</f>
        <v>81250000</v>
      </c>
      <c r="G37" s="40" t="n">
        <f aca="false">$C37*$B37*$D37*01_ASUMSI!$B$68</f>
        <v>43056000</v>
      </c>
      <c r="H37" s="40" t="n">
        <f aca="false">IFERROR(($C37*($D37-$E37)-($F37+$G37)/$B37)/$D37,0)</f>
        <v>163153.333333333</v>
      </c>
      <c r="I37" s="54" t="n">
        <f aca="false">IFERROR($H37/$C$4-1,0)</f>
        <v>0.0346567742574793</v>
      </c>
      <c r="J37" s="55" t="n">
        <f aca="false">IFERROR($D37*(1-$C$4/$C37)-($F37+$G37)/($C37*$B37),0)</f>
        <v>3.06923326296378</v>
      </c>
      <c r="K37" s="37" t="str">
        <f aca="false">IF($H37&gt;=$C$4,"AMAN","NER DI BAWAH BATAS — PERIKSA")</f>
        <v>AMAN</v>
      </c>
    </row>
    <row r="38" customFormat="false" ht="15" hidden="false" customHeight="false" outlineLevel="0" collapsed="false">
      <c r="A38" s="34" t="str">
        <f aca="false">04_KALKULASI!A40</f>
        <v>MNS-01-13A</v>
      </c>
      <c r="B38" s="36" t="n">
        <f aca="false">04_KALKULASI!C40</f>
        <v>595</v>
      </c>
      <c r="C38" s="36" t="n">
        <f aca="false">04_KALKULASI!S40</f>
        <v>198500</v>
      </c>
      <c r="D38" s="35" t="n">
        <f aca="false">01_ASUMSI!$B$65</f>
        <v>36</v>
      </c>
      <c r="E38" s="35" t="n">
        <f aca="false">01_ASUMSI!$B$66</f>
        <v>2</v>
      </c>
      <c r="F38" s="40" t="n">
        <f aca="false">01_ASUMSI!$B$67*$B38</f>
        <v>148750000</v>
      </c>
      <c r="G38" s="40" t="n">
        <f aca="false">$C38*$B38*$D38*01_ASUMSI!$B$68</f>
        <v>85037400</v>
      </c>
      <c r="H38" s="40" t="n">
        <f aca="false">IFERROR(($C38*($D38-$E38)-($F38+$G38)/$B38)/$D38,0)</f>
        <v>176557.777777778</v>
      </c>
      <c r="I38" s="54" t="n">
        <f aca="false">IFERROR($H38/$C$4-1,0)</f>
        <v>0.119662694554965</v>
      </c>
      <c r="J38" s="55" t="n">
        <f aca="false">IFERROR($D38*(1-$C$4/$C38)-($F38+$G38)/($C38*$B38),0)</f>
        <v>5.42216080798657</v>
      </c>
      <c r="K38" s="37" t="str">
        <f aca="false">IF($H38&gt;=$C$4,"AMAN","NER DI BAWAH BATAS — PERIKSA")</f>
        <v>AMAN</v>
      </c>
    </row>
    <row r="39" customFormat="false" ht="15" hidden="false" customHeight="false" outlineLevel="0" collapsed="false">
      <c r="A39" s="34" t="str">
        <f aca="false">04_KALKULASI!A41</f>
        <v>MNS-01-13B</v>
      </c>
      <c r="B39" s="36" t="n">
        <f aca="false">04_KALKULASI!C41</f>
        <v>605</v>
      </c>
      <c r="C39" s="36" t="n">
        <f aca="false">04_KALKULASI!S41</f>
        <v>183500</v>
      </c>
      <c r="D39" s="35" t="n">
        <f aca="false">01_ASUMSI!$B$65</f>
        <v>36</v>
      </c>
      <c r="E39" s="35" t="n">
        <f aca="false">01_ASUMSI!$B$66</f>
        <v>2</v>
      </c>
      <c r="F39" s="40" t="n">
        <f aca="false">01_ASUMSI!$B$67*$B39</f>
        <v>151250000</v>
      </c>
      <c r="G39" s="40" t="n">
        <f aca="false">$C39*$B39*$D39*01_ASUMSI!$B$68</f>
        <v>79932600</v>
      </c>
      <c r="H39" s="40" t="n">
        <f aca="false">IFERROR(($C39*($D39-$E39)-($F39+$G39)/$B39)/$D39,0)</f>
        <v>162691.111111111</v>
      </c>
      <c r="I39" s="54" t="n">
        <f aca="false">IFERROR($H39/$C$4-1,0)</f>
        <v>0.0317255356265316</v>
      </c>
      <c r="J39" s="55" t="n">
        <f aca="false">IFERROR($D39*(1-$C$4/$C39)-($F39+$G39)/($C39*$B39),0)</f>
        <v>2.98146550618711</v>
      </c>
      <c r="K39" s="37" t="str">
        <f aca="false">IF($H39&gt;=$C$4,"AMAN","NER DI BAWAH BATAS — PERIKSA")</f>
        <v>AMAN</v>
      </c>
    </row>
    <row r="40" customFormat="false" ht="15" hidden="false" customHeight="false" outlineLevel="0" collapsed="false">
      <c r="A40" s="34" t="str">
        <f aca="false">04_KALKULASI!A42</f>
        <v>MNS-01-14A</v>
      </c>
      <c r="B40" s="36" t="n">
        <f aca="false">04_KALKULASI!C42</f>
        <v>575</v>
      </c>
      <c r="C40" s="36" t="n">
        <f aca="false">04_KALKULASI!S42</f>
        <v>174500</v>
      </c>
      <c r="D40" s="35" t="n">
        <f aca="false">01_ASUMSI!$B$65</f>
        <v>36</v>
      </c>
      <c r="E40" s="35" t="n">
        <f aca="false">01_ASUMSI!$B$66</f>
        <v>2</v>
      </c>
      <c r="F40" s="40" t="n">
        <f aca="false">01_ASUMSI!$B$67*$B40</f>
        <v>143750000</v>
      </c>
      <c r="G40" s="40" t="n">
        <f aca="false">$C40*$B40*$D40*01_ASUMSI!$B$68</f>
        <v>72243000</v>
      </c>
      <c r="H40" s="40" t="n">
        <f aca="false">IFERROR(($C40*($D40-$E40)-($F40+$G40)/$B40)/$D40,0)</f>
        <v>154371.111111111</v>
      </c>
      <c r="I40" s="54" t="n">
        <f aca="false">IFERROR($H40/$C$4-1,0)</f>
        <v>-0.0210367597305287</v>
      </c>
      <c r="J40" s="55" t="n">
        <f aca="false">IFERROR($D40*(1-$C$4/$C40)-($F40+$G40)/($C40*$B40),0)</f>
        <v>1.31563851223688</v>
      </c>
      <c r="K40" s="37" t="str">
        <f aca="false">IF($H40&gt;=$C$4,"AMAN","NER DI BAWAH BATAS — PERIKSA")</f>
        <v>NER DI BAWAH BATAS — PERIKSA</v>
      </c>
    </row>
    <row r="41" customFormat="false" ht="15" hidden="false" customHeight="false" outlineLevel="0" collapsed="false">
      <c r="A41" s="34" t="str">
        <f aca="false">04_KALKULASI!A43</f>
        <v>MNS-01-14B</v>
      </c>
      <c r="B41" s="36" t="n">
        <f aca="false">04_KALKULASI!C43</f>
        <v>625</v>
      </c>
      <c r="C41" s="36" t="n">
        <f aca="false">04_KALKULASI!S43</f>
        <v>178500</v>
      </c>
      <c r="D41" s="35" t="n">
        <f aca="false">01_ASUMSI!$B$65</f>
        <v>36</v>
      </c>
      <c r="E41" s="35" t="n">
        <f aca="false">01_ASUMSI!$B$66</f>
        <v>2</v>
      </c>
      <c r="F41" s="40" t="n">
        <f aca="false">01_ASUMSI!$B$67*$B41</f>
        <v>156250000</v>
      </c>
      <c r="G41" s="40" t="n">
        <f aca="false">$C41*$B41*$D41*01_ASUMSI!$B$68</f>
        <v>80325000</v>
      </c>
      <c r="H41" s="40" t="n">
        <f aca="false">IFERROR(($C41*($D41-$E41)-($F41+$G41)/$B41)/$D41,0)</f>
        <v>158068.888888889</v>
      </c>
      <c r="I41" s="54" t="n">
        <f aca="false">IFERROR($H41/$C$4-1,0)</f>
        <v>0.00241314931705339</v>
      </c>
      <c r="J41" s="55" t="n">
        <f aca="false">IFERROR($D41*(1-$C$4/$C41)-($F41+$G41)/($C41*$B41),0)</f>
        <v>2.07674465201868</v>
      </c>
      <c r="K41" s="37" t="str">
        <f aca="false">IF($H41&gt;=$C$4,"AMAN","NER DI BAWAH BATAS — PERIKSA")</f>
        <v>AMAN</v>
      </c>
    </row>
    <row r="42" customFormat="false" ht="15" hidden="false" customHeight="false" outlineLevel="0" collapsed="false">
      <c r="A42" s="34" t="str">
        <f aca="false">04_KALKULASI!A44</f>
        <v>MNS-01-15A</v>
      </c>
      <c r="B42" s="36" t="n">
        <f aca="false">04_KALKULASI!C44</f>
        <v>630</v>
      </c>
      <c r="C42" s="36" t="n">
        <f aca="false">04_KALKULASI!S44</f>
        <v>178000</v>
      </c>
      <c r="D42" s="35" t="n">
        <f aca="false">01_ASUMSI!$B$65</f>
        <v>36</v>
      </c>
      <c r="E42" s="35" t="n">
        <f aca="false">01_ASUMSI!$B$66</f>
        <v>2</v>
      </c>
      <c r="F42" s="40" t="n">
        <f aca="false">01_ASUMSI!$B$67*$B42</f>
        <v>157500000</v>
      </c>
      <c r="G42" s="40" t="n">
        <f aca="false">$C42*$B42*$D42*01_ASUMSI!$B$68</f>
        <v>80740800</v>
      </c>
      <c r="H42" s="40" t="n">
        <f aca="false">IFERROR(($C42*($D42-$E42)-($F42+$G42)/$B42)/$D42,0)</f>
        <v>157606.666666667</v>
      </c>
      <c r="I42" s="54" t="n">
        <f aca="false">IFERROR($H42/$C$4-1,0)</f>
        <v>-0.000518089313894299</v>
      </c>
      <c r="J42" s="55" t="n">
        <f aca="false">IFERROR($D42*(1-$C$4/$C42)-($F42+$G42)/($C42*$B42),0)</f>
        <v>1.98347708081649</v>
      </c>
      <c r="K42" s="37" t="str">
        <f aca="false">IF($H42&gt;=$C$4,"AMAN","NER DI BAWAH BATAS — PERIKSA")</f>
        <v>NER DI BAWAH BATAS — PERIKSA</v>
      </c>
    </row>
    <row r="43" customFormat="false" ht="15" hidden="false" customHeight="false" outlineLevel="0" collapsed="false">
      <c r="A43" s="34" t="str">
        <f aca="false">04_KALKULASI!A45</f>
        <v>MNS-01-15B</v>
      </c>
      <c r="B43" s="36" t="n">
        <f aca="false">04_KALKULASI!C45</f>
        <v>570</v>
      </c>
      <c r="C43" s="36" t="n">
        <f aca="false">04_KALKULASI!S45</f>
        <v>191500</v>
      </c>
      <c r="D43" s="35" t="n">
        <f aca="false">01_ASUMSI!$B$65</f>
        <v>36</v>
      </c>
      <c r="E43" s="35" t="n">
        <f aca="false">01_ASUMSI!$B$66</f>
        <v>2</v>
      </c>
      <c r="F43" s="40" t="n">
        <f aca="false">01_ASUMSI!$B$67*$B43</f>
        <v>142500000</v>
      </c>
      <c r="G43" s="40" t="n">
        <f aca="false">$C43*$B43*$D43*01_ASUMSI!$B$68</f>
        <v>78591600</v>
      </c>
      <c r="H43" s="40" t="n">
        <f aca="false">IFERROR(($C43*($D43-$E43)-($F43+$G43)/$B43)/$D43,0)</f>
        <v>170086.666666667</v>
      </c>
      <c r="I43" s="54" t="n">
        <f aca="false">IFERROR($H43/$C$4-1,0)</f>
        <v>0.0786253537216959</v>
      </c>
      <c r="J43" s="55" t="n">
        <f aca="false">IFERROR($D43*(1-$C$4/$C43)-($F43+$G43)/($C43*$B43),0)</f>
        <v>4.33075154248216</v>
      </c>
      <c r="K43" s="37" t="str">
        <f aca="false">IF($H43&gt;=$C$4,"AMAN","NER DI BAWAH BATAS — PERIKSA")</f>
        <v>AMAN</v>
      </c>
    </row>
    <row r="44" customFormat="false" ht="15" hidden="false" customHeight="false" outlineLevel="0" collapsed="false">
      <c r="A44" s="34" t="str">
        <f aca="false">04_KALKULASI!A46</f>
        <v>MNS-01-16A</v>
      </c>
      <c r="B44" s="36" t="n">
        <f aca="false">04_KALKULASI!C46</f>
        <v>410</v>
      </c>
      <c r="C44" s="36" t="n">
        <f aca="false">04_KALKULASI!S46</f>
        <v>196000</v>
      </c>
      <c r="D44" s="35" t="n">
        <f aca="false">01_ASUMSI!$B$65</f>
        <v>36</v>
      </c>
      <c r="E44" s="35" t="n">
        <f aca="false">01_ASUMSI!$B$66</f>
        <v>2</v>
      </c>
      <c r="F44" s="40" t="n">
        <f aca="false">01_ASUMSI!$B$67*$B44</f>
        <v>102500000</v>
      </c>
      <c r="G44" s="40" t="n">
        <f aca="false">$C44*$B44*$D44*01_ASUMSI!$B$68</f>
        <v>57859200</v>
      </c>
      <c r="H44" s="40" t="n">
        <f aca="false">IFERROR(($C44*($D44-$E44)-($F44+$G44)/$B44)/$D44,0)</f>
        <v>174246.666666667</v>
      </c>
      <c r="I44" s="54" t="n">
        <f aca="false">IFERROR($H44/$C$4-1,0)</f>
        <v>0.105006501400226</v>
      </c>
      <c r="J44" s="55" t="n">
        <f aca="false">IFERROR($D44*(1-$C$4/$C44)-($F44+$G44)/($C44*$B44),0)</f>
        <v>5.04132102237416</v>
      </c>
      <c r="K44" s="37" t="str">
        <f aca="false">IF($H44&gt;=$C$4,"AMAN","NER DI BAWAH BATAS — PERIKSA")</f>
        <v>AMAN</v>
      </c>
    </row>
    <row r="45" customFormat="false" ht="15" hidden="false" customHeight="false" outlineLevel="0" collapsed="false">
      <c r="A45" s="34" t="str">
        <f aca="false">04_KALKULASI!A47</f>
        <v>MNS-01-16B</v>
      </c>
      <c r="B45" s="36" t="n">
        <f aca="false">04_KALKULASI!C47</f>
        <v>375</v>
      </c>
      <c r="C45" s="36" t="n">
        <f aca="false">04_KALKULASI!S47</f>
        <v>183000</v>
      </c>
      <c r="D45" s="35" t="n">
        <f aca="false">01_ASUMSI!$B$65</f>
        <v>36</v>
      </c>
      <c r="E45" s="35" t="n">
        <f aca="false">01_ASUMSI!$B$66</f>
        <v>2</v>
      </c>
      <c r="F45" s="40" t="n">
        <f aca="false">01_ASUMSI!$B$67*$B45</f>
        <v>93750000</v>
      </c>
      <c r="G45" s="40" t="n">
        <f aca="false">$C45*$B45*$D45*01_ASUMSI!$B$68</f>
        <v>49410000</v>
      </c>
      <c r="H45" s="40" t="n">
        <f aca="false">IFERROR(($C45*($D45-$E45)-($F45+$G45)/$B45)/$D45,0)</f>
        <v>162228.888888889</v>
      </c>
      <c r="I45" s="54" t="n">
        <f aca="false">IFERROR($H45/$C$4-1,0)</f>
        <v>0.0287942969955837</v>
      </c>
      <c r="J45" s="55" t="n">
        <f aca="false">IFERROR($D45*(1-$C$4/$C45)-($F45+$G45)/($C45*$B45),0)</f>
        <v>2.89321814418216</v>
      </c>
      <c r="K45" s="37" t="str">
        <f aca="false">IF($H45&gt;=$C$4,"AMAN","NER DI BAWAH BATAS — PERIKSA")</f>
        <v>AMAN</v>
      </c>
    </row>
    <row r="46" customFormat="false" ht="15" hidden="false" customHeight="false" outlineLevel="0" collapsed="false">
      <c r="A46" s="34" t="str">
        <f aca="false">04_KALKULASI!A48</f>
        <v>MNS-01-16C</v>
      </c>
      <c r="B46" s="36" t="n">
        <f aca="false">04_KALKULASI!C48</f>
        <v>415</v>
      </c>
      <c r="C46" s="36" t="n">
        <f aca="false">04_KALKULASI!S48</f>
        <v>190500</v>
      </c>
      <c r="D46" s="35" t="n">
        <f aca="false">01_ASUMSI!$B$65</f>
        <v>36</v>
      </c>
      <c r="E46" s="35" t="n">
        <f aca="false">01_ASUMSI!$B$66</f>
        <v>2</v>
      </c>
      <c r="F46" s="40" t="n">
        <f aca="false">01_ASUMSI!$B$67*$B46</f>
        <v>103750000</v>
      </c>
      <c r="G46" s="40" t="n">
        <f aca="false">$C46*$B46*$D46*01_ASUMSI!$B$68</f>
        <v>56921400</v>
      </c>
      <c r="H46" s="40" t="n">
        <f aca="false">IFERROR(($C46*($D46-$E46)-($F46+$G46)/$B46)/$D46,0)</f>
        <v>169162.222222222</v>
      </c>
      <c r="I46" s="54" t="n">
        <f aca="false">IFERROR($H46/$C$4-1,0)</f>
        <v>0.0727628764598005</v>
      </c>
      <c r="J46" s="55" t="n">
        <f aca="false">IFERROR($D46*(1-$C$4/$C46)-($F46+$G46)/($C46*$B46),0)</f>
        <v>4.16828829598601</v>
      </c>
      <c r="K46" s="37" t="str">
        <f aca="false">IF($H46&gt;=$C$4,"AMAN","NER DI BAWAH BATAS — PERIKSA")</f>
        <v>AMAN</v>
      </c>
    </row>
    <row r="47" customFormat="false" ht="15" hidden="false" customHeight="false" outlineLevel="0" collapsed="false">
      <c r="A47" s="34" t="str">
        <f aca="false">04_KALKULASI!A49</f>
        <v>MNS-01-17A</v>
      </c>
      <c r="B47" s="36" t="n">
        <f aca="false">04_KALKULASI!C49</f>
        <v>645</v>
      </c>
      <c r="C47" s="36" t="n">
        <f aca="false">04_KALKULASI!S49</f>
        <v>184000</v>
      </c>
      <c r="D47" s="35" t="n">
        <f aca="false">01_ASUMSI!$B$65</f>
        <v>36</v>
      </c>
      <c r="E47" s="35" t="n">
        <f aca="false">01_ASUMSI!$B$66</f>
        <v>2</v>
      </c>
      <c r="F47" s="40" t="n">
        <f aca="false">01_ASUMSI!$B$67*$B47</f>
        <v>161250000</v>
      </c>
      <c r="G47" s="40" t="n">
        <f aca="false">$C47*$B47*$D47*01_ASUMSI!$B$68</f>
        <v>85449600</v>
      </c>
      <c r="H47" s="40" t="n">
        <f aca="false">IFERROR(($C47*($D47-$E47)-($F47+$G47)/$B47)/$D47,0)</f>
        <v>163153.333333333</v>
      </c>
      <c r="I47" s="54" t="n">
        <f aca="false">IFERROR($H47/$C$4-1,0)</f>
        <v>0.0346567742574793</v>
      </c>
      <c r="J47" s="55" t="n">
        <f aca="false">IFERROR($D47*(1-$C$4/$C47)-($F47+$G47)/($C47*$B47),0)</f>
        <v>3.06923326296378</v>
      </c>
      <c r="K47" s="37" t="str">
        <f aca="false">IF($H47&gt;=$C$4,"AMAN","NER DI BAWAH BATAS — PERIKSA")</f>
        <v>AMAN</v>
      </c>
    </row>
    <row r="48" customFormat="false" ht="15" hidden="false" customHeight="false" outlineLevel="0" collapsed="false">
      <c r="A48" s="34" t="str">
        <f aca="false">04_KALKULASI!A50</f>
        <v>MNS-01-17B</v>
      </c>
      <c r="B48" s="36" t="n">
        <f aca="false">04_KALKULASI!C50</f>
        <v>555</v>
      </c>
      <c r="C48" s="36" t="n">
        <f aca="false">04_KALKULASI!S50</f>
        <v>188500</v>
      </c>
      <c r="D48" s="35" t="n">
        <f aca="false">01_ASUMSI!$B$65</f>
        <v>36</v>
      </c>
      <c r="E48" s="35" t="n">
        <f aca="false">01_ASUMSI!$B$66</f>
        <v>2</v>
      </c>
      <c r="F48" s="40" t="n">
        <f aca="false">01_ASUMSI!$B$67*$B48</f>
        <v>138750000</v>
      </c>
      <c r="G48" s="40" t="n">
        <f aca="false">$C48*$B48*$D48*01_ASUMSI!$B$68</f>
        <v>75324600</v>
      </c>
      <c r="H48" s="40" t="n">
        <f aca="false">IFERROR(($C48*($D48-$E48)-($F48+$G48)/$B48)/$D48,0)</f>
        <v>167313.333333333</v>
      </c>
      <c r="I48" s="54" t="n">
        <f aca="false">IFERROR($H48/$C$4-1,0)</f>
        <v>0.0610379219360093</v>
      </c>
      <c r="J48" s="55" t="n">
        <f aca="false">IFERROR($D48*(1-$C$4/$C48)-($F48+$G48)/($C48*$B48),0)</f>
        <v>3.83819055907339</v>
      </c>
      <c r="K48" s="37" t="str">
        <f aca="false">IF($H48&gt;=$C$4,"AMAN","NER DI BAWAH BATAS — PERIKSA")</f>
        <v>AMAN</v>
      </c>
    </row>
    <row r="49" customFormat="false" ht="15" hidden="false" customHeight="false" outlineLevel="0" collapsed="false">
      <c r="A49" s="34" t="str">
        <f aca="false">04_KALKULASI!A51</f>
        <v>MNS-01-18A</v>
      </c>
      <c r="B49" s="36" t="n">
        <f aca="false">04_KALKULASI!C51</f>
        <v>575</v>
      </c>
      <c r="C49" s="36" t="n">
        <f aca="false">04_KALKULASI!S51</f>
        <v>194500</v>
      </c>
      <c r="D49" s="35" t="n">
        <f aca="false">01_ASUMSI!$B$65</f>
        <v>36</v>
      </c>
      <c r="E49" s="35" t="n">
        <f aca="false">01_ASUMSI!$B$66</f>
        <v>2</v>
      </c>
      <c r="F49" s="40" t="n">
        <f aca="false">01_ASUMSI!$B$67*$B49</f>
        <v>143750000</v>
      </c>
      <c r="G49" s="40" t="n">
        <f aca="false">$C49*$B49*$D49*01_ASUMSI!$B$68</f>
        <v>80523000</v>
      </c>
      <c r="H49" s="40" t="n">
        <f aca="false">IFERROR(($C49*($D49-$E49)-($F49+$G49)/$B49)/$D49,0)</f>
        <v>172860</v>
      </c>
      <c r="I49" s="54" t="n">
        <f aca="false">IFERROR($H49/$C$4-1,0)</f>
        <v>0.0962127855073829</v>
      </c>
      <c r="J49" s="55" t="n">
        <f aca="false">IFERROR($D49*(1-$C$4/$C49)-($F49+$G49)/($C49*$B49),0)</f>
        <v>4.80811784259812</v>
      </c>
      <c r="K49" s="37" t="str">
        <f aca="false">IF($H49&gt;=$C$4,"AMAN","NER DI BAWAH BATAS — PERIKSA")</f>
        <v>AMAN</v>
      </c>
    </row>
    <row r="50" customFormat="false" ht="15" hidden="false" customHeight="false" outlineLevel="0" collapsed="false">
      <c r="A50" s="34" t="str">
        <f aca="false">04_KALKULASI!A52</f>
        <v>MNS-01-18B</v>
      </c>
      <c r="B50" s="36" t="n">
        <f aca="false">04_KALKULASI!C52</f>
        <v>625</v>
      </c>
      <c r="C50" s="36" t="n">
        <f aca="false">04_KALKULASI!S52</f>
        <v>180000</v>
      </c>
      <c r="D50" s="35" t="n">
        <f aca="false">01_ASUMSI!$B$65</f>
        <v>36</v>
      </c>
      <c r="E50" s="35" t="n">
        <f aca="false">01_ASUMSI!$B$66</f>
        <v>2</v>
      </c>
      <c r="F50" s="40" t="n">
        <f aca="false">01_ASUMSI!$B$67*$B50</f>
        <v>156250000</v>
      </c>
      <c r="G50" s="40" t="n">
        <f aca="false">$C50*$B50*$D50*01_ASUMSI!$B$68</f>
        <v>81000000</v>
      </c>
      <c r="H50" s="40" t="n">
        <f aca="false">IFERROR(($C50*($D50-$E50)-($F50+$G50)/$B50)/$D50,0)</f>
        <v>159455.555555556</v>
      </c>
      <c r="I50" s="54" t="n">
        <f aca="false">IFERROR($H50/$C$4-1,0)</f>
        <v>0.0112068652098969</v>
      </c>
      <c r="J50" s="55" t="n">
        <f aca="false">IFERROR($D50*(1-$C$4/$C50)-($F50+$G50)/($C50*$B50),0)</f>
        <v>2.35343844658519</v>
      </c>
      <c r="K50" s="37" t="str">
        <f aca="false">IF($H50&gt;=$C$4,"AMAN","NER DI BAWAH BATAS — PERIKSA")</f>
        <v>AMAN</v>
      </c>
    </row>
    <row r="51" customFormat="false" ht="15" hidden="false" customHeight="false" outlineLevel="0" collapsed="false">
      <c r="A51" s="34" t="str">
        <f aca="false">04_KALKULASI!A53</f>
        <v>MNS-01-19A</v>
      </c>
      <c r="B51" s="36" t="n">
        <f aca="false">04_KALKULASI!C53</f>
        <v>670</v>
      </c>
      <c r="C51" s="36" t="n">
        <f aca="false">04_KALKULASI!S53</f>
        <v>191000</v>
      </c>
      <c r="D51" s="35" t="n">
        <f aca="false">01_ASUMSI!$B$65</f>
        <v>36</v>
      </c>
      <c r="E51" s="35" t="n">
        <f aca="false">01_ASUMSI!$B$66</f>
        <v>2</v>
      </c>
      <c r="F51" s="40" t="n">
        <f aca="false">01_ASUMSI!$B$67*$B51</f>
        <v>167500000</v>
      </c>
      <c r="G51" s="40" t="n">
        <f aca="false">$C51*$B51*$D51*01_ASUMSI!$B$68</f>
        <v>92138400</v>
      </c>
      <c r="H51" s="40" t="n">
        <f aca="false">IFERROR(($C51*($D51-$E51)-($F51+$G51)/$B51)/$D51,0)</f>
        <v>169624.444444444</v>
      </c>
      <c r="I51" s="54" t="n">
        <f aca="false">IFERROR($H51/$C$4-1,0)</f>
        <v>0.0756941150907482</v>
      </c>
      <c r="J51" s="55" t="n">
        <f aca="false">IFERROR($D51*(1-$C$4/$C51)-($F51+$G51)/($C51*$B51),0)</f>
        <v>4.24973256746249</v>
      </c>
      <c r="K51" s="37" t="str">
        <f aca="false">IF($H51&gt;=$C$4,"AMAN","NER DI BAWAH BATAS — PERIKSA")</f>
        <v>AMAN</v>
      </c>
    </row>
    <row r="52" customFormat="false" ht="15" hidden="false" customHeight="false" outlineLevel="0" collapsed="false">
      <c r="A52" s="34" t="str">
        <f aca="false">04_KALKULASI!A54</f>
        <v>MNS-01-19B</v>
      </c>
      <c r="B52" s="36" t="n">
        <f aca="false">04_KALKULASI!C54</f>
        <v>530</v>
      </c>
      <c r="C52" s="36" t="n">
        <f aca="false">04_KALKULASI!S54</f>
        <v>179000</v>
      </c>
      <c r="D52" s="35" t="n">
        <f aca="false">01_ASUMSI!$B$65</f>
        <v>36</v>
      </c>
      <c r="E52" s="35" t="n">
        <f aca="false">01_ASUMSI!$B$66</f>
        <v>2</v>
      </c>
      <c r="F52" s="40" t="n">
        <f aca="false">01_ASUMSI!$B$67*$B52</f>
        <v>132500000</v>
      </c>
      <c r="G52" s="40" t="n">
        <f aca="false">$C52*$B52*$D52*01_ASUMSI!$B$68</f>
        <v>68306400</v>
      </c>
      <c r="H52" s="40" t="n">
        <f aca="false">IFERROR(($C52*($D52-$E52)-($F52+$G52)/$B52)/$D52,0)</f>
        <v>158531.111111111</v>
      </c>
      <c r="I52" s="54" t="n">
        <f aca="false">IFERROR($H52/$C$4-1,0)</f>
        <v>0.00534438794800152</v>
      </c>
      <c r="J52" s="55" t="n">
        <f aca="false">IFERROR($D52*(1-$C$4/$C52)-($F52+$G52)/($C52*$B52),0)</f>
        <v>2.16949117533706</v>
      </c>
      <c r="K52" s="37" t="str">
        <f aca="false">IF($H52&gt;=$C$4,"AMAN","NER DI BAWAH BATAS — PERIKSA")</f>
        <v>AMAN</v>
      </c>
    </row>
    <row r="53" customFormat="false" ht="15" hidden="false" customHeight="false" outlineLevel="0" collapsed="false">
      <c r="A53" s="34" t="str">
        <f aca="false">04_KALKULASI!A55</f>
        <v>MNS-01-20A</v>
      </c>
      <c r="B53" s="36" t="n">
        <f aca="false">04_KALKULASI!C55</f>
        <v>420</v>
      </c>
      <c r="C53" s="36" t="n">
        <f aca="false">04_KALKULASI!S55</f>
        <v>195000</v>
      </c>
      <c r="D53" s="35" t="n">
        <f aca="false">01_ASUMSI!$B$65</f>
        <v>36</v>
      </c>
      <c r="E53" s="35" t="n">
        <f aca="false">01_ASUMSI!$B$66</f>
        <v>2</v>
      </c>
      <c r="F53" s="40" t="n">
        <f aca="false">01_ASUMSI!$B$67*$B53</f>
        <v>105000000</v>
      </c>
      <c r="G53" s="40" t="n">
        <f aca="false">$C53*$B53*$D53*01_ASUMSI!$B$68</f>
        <v>58968000</v>
      </c>
      <c r="H53" s="40" t="n">
        <f aca="false">IFERROR(($C53*($D53-$E53)-($F53+$G53)/$B53)/$D53,0)</f>
        <v>173322.222222222</v>
      </c>
      <c r="I53" s="54" t="n">
        <f aca="false">IFERROR($H53/$C$4-1,0)</f>
        <v>0.0991440241383306</v>
      </c>
      <c r="J53" s="55" t="n">
        <f aca="false">IFERROR($D53*(1-$C$4/$C53)-($F53+$G53)/($C53*$B53),0)</f>
        <v>4.88625087377095</v>
      </c>
      <c r="K53" s="37" t="str">
        <f aca="false">IF($H53&gt;=$C$4,"AMAN","NER DI BAWAH BATAS — PERIKSA")</f>
        <v>AMAN</v>
      </c>
    </row>
    <row r="54" customFormat="false" ht="15" hidden="false" customHeight="false" outlineLevel="0" collapsed="false">
      <c r="A54" s="34" t="str">
        <f aca="false">04_KALKULASI!A56</f>
        <v>MNS-01-20B</v>
      </c>
      <c r="B54" s="36" t="n">
        <f aca="false">04_KALKULASI!C56</f>
        <v>410</v>
      </c>
      <c r="C54" s="36" t="n">
        <f aca="false">04_KALKULASI!S56</f>
        <v>191000</v>
      </c>
      <c r="D54" s="35" t="n">
        <f aca="false">01_ASUMSI!$B$65</f>
        <v>36</v>
      </c>
      <c r="E54" s="35" t="n">
        <f aca="false">01_ASUMSI!$B$66</f>
        <v>2</v>
      </c>
      <c r="F54" s="40" t="n">
        <f aca="false">01_ASUMSI!$B$67*$B54</f>
        <v>102500000</v>
      </c>
      <c r="G54" s="40" t="n">
        <f aca="false">$C54*$B54*$D54*01_ASUMSI!$B$68</f>
        <v>56383200</v>
      </c>
      <c r="H54" s="40" t="n">
        <f aca="false">IFERROR(($C54*($D54-$E54)-($F54+$G54)/$B54)/$D54,0)</f>
        <v>169624.444444444</v>
      </c>
      <c r="I54" s="54" t="n">
        <f aca="false">IFERROR($H54/$C$4-1,0)</f>
        <v>0.0756941150907482</v>
      </c>
      <c r="J54" s="55" t="n">
        <f aca="false">IFERROR($D54*(1-$C$4/$C54)-($F54+$G54)/($C54*$B54),0)</f>
        <v>4.24973256746249</v>
      </c>
      <c r="K54" s="37" t="str">
        <f aca="false">IF($H54&gt;=$C$4,"AMAN","NER DI BAWAH BATAS — PERIKSA")</f>
        <v>AMAN</v>
      </c>
    </row>
    <row r="55" customFormat="false" ht="15" hidden="false" customHeight="false" outlineLevel="0" collapsed="false">
      <c r="A55" s="34" t="str">
        <f aca="false">04_KALKULASI!A57</f>
        <v>MNS-01-20C</v>
      </c>
      <c r="B55" s="36" t="n">
        <f aca="false">04_KALKULASI!C57</f>
        <v>370</v>
      </c>
      <c r="C55" s="36" t="n">
        <f aca="false">04_KALKULASI!S57</f>
        <v>182000</v>
      </c>
      <c r="D55" s="35" t="n">
        <f aca="false">01_ASUMSI!$B$65</f>
        <v>36</v>
      </c>
      <c r="E55" s="35" t="n">
        <f aca="false">01_ASUMSI!$B$66</f>
        <v>2</v>
      </c>
      <c r="F55" s="40" t="n">
        <f aca="false">01_ASUMSI!$B$67*$B55</f>
        <v>92500000</v>
      </c>
      <c r="G55" s="40" t="n">
        <f aca="false">$C55*$B55*$D55*01_ASUMSI!$B$68</f>
        <v>48484800</v>
      </c>
      <c r="H55" s="40" t="n">
        <f aca="false">IFERROR(($C55*($D55-$E55)-($F55+$G55)/$B55)/$D55,0)</f>
        <v>161304.444444444</v>
      </c>
      <c r="I55" s="54" t="n">
        <f aca="false">IFERROR($H55/$C$4-1,0)</f>
        <v>0.0229318197336881</v>
      </c>
      <c r="J55" s="55" t="n">
        <f aca="false">IFERROR($D55*(1-$C$4/$C55)-($F55+$G55)/($C55*$B55),0)</f>
        <v>2.71526879332601</v>
      </c>
      <c r="K55" s="37" t="str">
        <f aca="false">IF($H55&gt;=$C$4,"AMAN","NER DI BAWAH BATAS — PERIKSA")</f>
        <v>AMAN</v>
      </c>
    </row>
    <row r="56" customFormat="false" ht="15" hidden="false" customHeight="false" outlineLevel="0" collapsed="false">
      <c r="A56" s="34" t="str">
        <f aca="false">04_KALKULASI!A58</f>
        <v>MNS-01-21A</v>
      </c>
      <c r="B56" s="36" t="n">
        <f aca="false">04_KALKULASI!C58</f>
        <v>630</v>
      </c>
      <c r="C56" s="36" t="n">
        <f aca="false">04_KALKULASI!S58</f>
        <v>212000</v>
      </c>
      <c r="D56" s="35" t="n">
        <f aca="false">01_ASUMSI!$B$65</f>
        <v>36</v>
      </c>
      <c r="E56" s="35" t="n">
        <f aca="false">01_ASUMSI!$B$66</f>
        <v>2</v>
      </c>
      <c r="F56" s="40" t="n">
        <f aca="false">01_ASUMSI!$B$67*$B56</f>
        <v>157500000</v>
      </c>
      <c r="G56" s="40" t="n">
        <f aca="false">$C56*$B56*$D56*01_ASUMSI!$B$68</f>
        <v>96163200</v>
      </c>
      <c r="H56" s="40" t="n">
        <f aca="false">IFERROR(($C56*($D56-$E56)-($F56+$G56)/$B56)/$D56,0)</f>
        <v>189037.777777778</v>
      </c>
      <c r="I56" s="54" t="n">
        <f aca="false">IFERROR($H56/$C$4-1,0)</f>
        <v>0.198806137590555</v>
      </c>
      <c r="J56" s="55" t="n">
        <f aca="false">IFERROR($D56*(1-$C$4/$C56)-($F56+$G56)/($C56*$B56),0)</f>
        <v>7.32348547351573</v>
      </c>
      <c r="K56" s="37" t="str">
        <f aca="false">IF($H56&gt;=$C$4,"AMAN","NER DI BAWAH BATAS — PERIKSA")</f>
        <v>AMAN</v>
      </c>
    </row>
    <row r="57" customFormat="false" ht="15" hidden="false" customHeight="false" outlineLevel="0" collapsed="false">
      <c r="A57" s="34" t="str">
        <f aca="false">04_KALKULASI!A59</f>
        <v>MNS-01-21B</v>
      </c>
      <c r="B57" s="36" t="n">
        <f aca="false">04_KALKULASI!C59</f>
        <v>570</v>
      </c>
      <c r="C57" s="36" t="n">
        <f aca="false">04_KALKULASI!S59</f>
        <v>180500</v>
      </c>
      <c r="D57" s="35" t="n">
        <f aca="false">01_ASUMSI!$B$65</f>
        <v>36</v>
      </c>
      <c r="E57" s="35" t="n">
        <f aca="false">01_ASUMSI!$B$66</f>
        <v>2</v>
      </c>
      <c r="F57" s="40" t="n">
        <f aca="false">01_ASUMSI!$B$67*$B57</f>
        <v>142500000</v>
      </c>
      <c r="G57" s="40" t="n">
        <f aca="false">$C57*$B57*$D57*01_ASUMSI!$B$68</f>
        <v>74077200</v>
      </c>
      <c r="H57" s="40" t="n">
        <f aca="false">IFERROR(($C57*($D57-$E57)-($F57+$G57)/$B57)/$D57,0)</f>
        <v>159917.777777778</v>
      </c>
      <c r="I57" s="54" t="n">
        <f aca="false">IFERROR($H57/$C$4-1,0)</f>
        <v>0.0141381038408448</v>
      </c>
      <c r="J57" s="55" t="n">
        <f aca="false">IFERROR($D57*(1-$C$4/$C57)-($F57+$G57)/($C57*$B57),0)</f>
        <v>2.4446477583675</v>
      </c>
      <c r="K57" s="37" t="str">
        <f aca="false">IF($H57&gt;=$C$4,"AMAN","NER DI BAWAH BATAS — PERIKSA")</f>
        <v>AMAN</v>
      </c>
    </row>
    <row r="58" customFormat="false" ht="15" hidden="false" customHeight="false" outlineLevel="0" collapsed="false">
      <c r="A58" s="34" t="str">
        <f aca="false">04_KALKULASI!A60</f>
        <v>MNS-01-22A</v>
      </c>
      <c r="B58" s="36" t="n">
        <f aca="false">04_KALKULASI!C60</f>
        <v>1200</v>
      </c>
      <c r="C58" s="36" t="n">
        <f aca="false">04_KALKULASI!S60</f>
        <v>207000</v>
      </c>
      <c r="D58" s="35" t="n">
        <f aca="false">01_ASUMSI!$B$65</f>
        <v>36</v>
      </c>
      <c r="E58" s="35" t="n">
        <f aca="false">01_ASUMSI!$B$66</f>
        <v>2</v>
      </c>
      <c r="F58" s="40" t="n">
        <f aca="false">01_ASUMSI!$B$67*$B58</f>
        <v>300000000</v>
      </c>
      <c r="G58" s="40" t="n">
        <f aca="false">$C58*$B58*$D58*01_ASUMSI!$B$68</f>
        <v>178848000</v>
      </c>
      <c r="H58" s="40" t="n">
        <f aca="false">IFERROR(($C58*($D58-$E58)-($F58+$G58)/$B58)/$D58,0)</f>
        <v>184415.555555556</v>
      </c>
      <c r="I58" s="54" t="n">
        <f aca="false">IFERROR($H58/$C$4-1,0)</f>
        <v>0.169493751281077</v>
      </c>
      <c r="J58" s="55" t="n">
        <f aca="false">IFERROR($D58*(1-$C$4/$C58)-($F58+$G58)/($C58*$B58),0)</f>
        <v>6.64820734485669</v>
      </c>
      <c r="K58" s="37" t="str">
        <f aca="false">IF($H58&gt;=$C$4,"AMAN","NER DI BAWAH BATAS — PERIKSA")</f>
        <v>AMAN</v>
      </c>
    </row>
    <row r="59" customFormat="false" ht="15" hidden="false" customHeight="false" outlineLevel="0" collapsed="false">
      <c r="A59" s="34" t="str">
        <f aca="false">04_KALKULASI!A61</f>
        <v>MNS-01-23A</v>
      </c>
      <c r="B59" s="36" t="n">
        <f aca="false">04_KALKULASI!C61</f>
        <v>1200</v>
      </c>
      <c r="C59" s="36" t="n">
        <f aca="false">04_KALKULASI!S61</f>
        <v>188000</v>
      </c>
      <c r="D59" s="35" t="n">
        <f aca="false">01_ASUMSI!$B$65</f>
        <v>36</v>
      </c>
      <c r="E59" s="35" t="n">
        <f aca="false">01_ASUMSI!$B$66</f>
        <v>2</v>
      </c>
      <c r="F59" s="40" t="n">
        <f aca="false">01_ASUMSI!$B$67*$B59</f>
        <v>300000000</v>
      </c>
      <c r="G59" s="40" t="n">
        <f aca="false">$C59*$B59*$D59*01_ASUMSI!$B$68</f>
        <v>162432000</v>
      </c>
      <c r="H59" s="40" t="n">
        <f aca="false">IFERROR(($C59*($D59-$E59)-($F59+$G59)/$B59)/$D59,0)</f>
        <v>166851.111111111</v>
      </c>
      <c r="I59" s="54" t="n">
        <f aca="false">IFERROR($H59/$C$4-1,0)</f>
        <v>0.0581066833050616</v>
      </c>
      <c r="J59" s="55" t="n">
        <f aca="false">IFERROR($D59*(1-$C$4/$C59)-($F59+$G59)/($C59*$B59),0)</f>
        <v>3.75456872545391</v>
      </c>
      <c r="K59" s="37" t="str">
        <f aca="false">IF($H59&gt;=$C$4,"AMAN","NER DI BAWAH BATAS — PERIKSA")</f>
        <v>AMAN</v>
      </c>
    </row>
    <row r="60" customFormat="false" ht="15" hidden="false" customHeight="false" outlineLevel="0" collapsed="false">
      <c r="A60" s="34" t="str">
        <f aca="false">04_KALKULASI!A62</f>
        <v>MNS-01-24A</v>
      </c>
      <c r="B60" s="36" t="n">
        <f aca="false">04_KALKULASI!C62</f>
        <v>585</v>
      </c>
      <c r="C60" s="36" t="n">
        <f aca="false">04_KALKULASI!S62</f>
        <v>187000</v>
      </c>
      <c r="D60" s="35" t="n">
        <f aca="false">01_ASUMSI!$B$65</f>
        <v>36</v>
      </c>
      <c r="E60" s="35" t="n">
        <f aca="false">01_ASUMSI!$B$66</f>
        <v>2</v>
      </c>
      <c r="F60" s="40" t="n">
        <f aca="false">01_ASUMSI!$B$67*$B60</f>
        <v>146250000</v>
      </c>
      <c r="G60" s="40" t="n">
        <f aca="false">$C60*$B60*$D60*01_ASUMSI!$B$68</f>
        <v>78764400</v>
      </c>
      <c r="H60" s="40" t="n">
        <f aca="false">IFERROR(($C60*($D60-$E60)-($F60+$G60)/$B60)/$D60,0)</f>
        <v>165926.666666667</v>
      </c>
      <c r="I60" s="54" t="n">
        <f aca="false">IFERROR($H60/$C$4-1,0)</f>
        <v>0.0522442060431658</v>
      </c>
      <c r="J60" s="55" t="n">
        <f aca="false">IFERROR($D60*(1-$C$4/$C60)-($F60+$G60)/($C60*$B60),0)</f>
        <v>3.58598353147238</v>
      </c>
      <c r="K60" s="37" t="str">
        <f aca="false">IF($H60&gt;=$C$4,"AMAN","NER DI BAWAH BATAS — PERIKSA")</f>
        <v>AMAN</v>
      </c>
    </row>
    <row r="61" customFormat="false" ht="15" hidden="false" customHeight="false" outlineLevel="0" collapsed="false">
      <c r="A61" s="34" t="str">
        <f aca="false">04_KALKULASI!A63</f>
        <v>MNS-01-24B</v>
      </c>
      <c r="B61" s="36" t="n">
        <f aca="false">04_KALKULASI!C63</f>
        <v>615</v>
      </c>
      <c r="C61" s="36" t="n">
        <f aca="false">04_KALKULASI!S63</f>
        <v>190000</v>
      </c>
      <c r="D61" s="35" t="n">
        <f aca="false">01_ASUMSI!$B$65</f>
        <v>36</v>
      </c>
      <c r="E61" s="35" t="n">
        <f aca="false">01_ASUMSI!$B$66</f>
        <v>2</v>
      </c>
      <c r="F61" s="40" t="n">
        <f aca="false">01_ASUMSI!$B$67*$B61</f>
        <v>153750000</v>
      </c>
      <c r="G61" s="40" t="n">
        <f aca="false">$C61*$B61*$D61*01_ASUMSI!$B$68</f>
        <v>84132000</v>
      </c>
      <c r="H61" s="40" t="n">
        <f aca="false">IFERROR(($C61*($D61-$E61)-($F61+$G61)/$B61)/$D61,0)</f>
        <v>168700</v>
      </c>
      <c r="I61" s="54" t="n">
        <f aca="false">IFERROR($H61/$C$4-1,0)</f>
        <v>0.0698316378288526</v>
      </c>
      <c r="J61" s="55" t="n">
        <f aca="false">IFERROR($D61*(1-$C$4/$C61)-($F61+$G61)/($C61*$B61),0)</f>
        <v>4.08641537044913</v>
      </c>
      <c r="K61" s="37" t="str">
        <f aca="false">IF($H61&gt;=$C$4,"AMAN","NER DI BAWAH BATAS — PERIKSA")</f>
        <v>AMAN</v>
      </c>
    </row>
    <row r="62" customFormat="false" ht="15" hidden="false" customHeight="false" outlineLevel="0" collapsed="false">
      <c r="A62" s="34" t="str">
        <f aca="false">04_KALKULASI!A64</f>
        <v>MNS-01-25A</v>
      </c>
      <c r="B62" s="36" t="n">
        <f aca="false">04_KALKULASI!C64</f>
        <v>570</v>
      </c>
      <c r="C62" s="36" t="n">
        <f aca="false">04_KALKULASI!S64</f>
        <v>191000</v>
      </c>
      <c r="D62" s="35" t="n">
        <f aca="false">01_ASUMSI!$B$65</f>
        <v>36</v>
      </c>
      <c r="E62" s="35" t="n">
        <f aca="false">01_ASUMSI!$B$66</f>
        <v>2</v>
      </c>
      <c r="F62" s="40" t="n">
        <f aca="false">01_ASUMSI!$B$67*$B62</f>
        <v>142500000</v>
      </c>
      <c r="G62" s="40" t="n">
        <f aca="false">$C62*$B62*$D62*01_ASUMSI!$B$68</f>
        <v>78386400</v>
      </c>
      <c r="H62" s="40" t="n">
        <f aca="false">IFERROR(($C62*($D62-$E62)-($F62+$G62)/$B62)/$D62,0)</f>
        <v>169624.444444444</v>
      </c>
      <c r="I62" s="54" t="n">
        <f aca="false">IFERROR($H62/$C$4-1,0)</f>
        <v>0.0756941150907482</v>
      </c>
      <c r="J62" s="55" t="n">
        <f aca="false">IFERROR($D62*(1-$C$4/$C62)-($F62+$G62)/($C62*$B62),0)</f>
        <v>4.24973256746249</v>
      </c>
      <c r="K62" s="37" t="str">
        <f aca="false">IF($H62&gt;=$C$4,"AMAN","NER DI BAWAH BATAS — PERIKSA")</f>
        <v>AMAN</v>
      </c>
    </row>
    <row r="63" customFormat="false" ht="15" hidden="false" customHeight="false" outlineLevel="0" collapsed="false">
      <c r="A63" s="34" t="str">
        <f aca="false">04_KALKULASI!A65</f>
        <v>MNS-01-25B</v>
      </c>
      <c r="B63" s="36" t="n">
        <f aca="false">04_KALKULASI!C65</f>
        <v>630</v>
      </c>
      <c r="C63" s="36" t="n">
        <f aca="false">04_KALKULASI!S65</f>
        <v>209000</v>
      </c>
      <c r="D63" s="35" t="n">
        <f aca="false">01_ASUMSI!$B$65</f>
        <v>36</v>
      </c>
      <c r="E63" s="35" t="n">
        <f aca="false">01_ASUMSI!$B$66</f>
        <v>2</v>
      </c>
      <c r="F63" s="40" t="n">
        <f aca="false">01_ASUMSI!$B$67*$B63</f>
        <v>157500000</v>
      </c>
      <c r="G63" s="40" t="n">
        <f aca="false">$C63*$B63*$D63*01_ASUMSI!$B$68</f>
        <v>94802400</v>
      </c>
      <c r="H63" s="40" t="n">
        <f aca="false">IFERROR(($C63*($D63-$E63)-($F63+$G63)/$B63)/$D63,0)</f>
        <v>186264.444444444</v>
      </c>
      <c r="I63" s="54" t="n">
        <f aca="false">IFERROR($H63/$C$4-1,0)</f>
        <v>0.181218705804869</v>
      </c>
      <c r="J63" s="55" t="n">
        <f aca="false">IFERROR($D63*(1-$C$4/$C63)-($F63+$G63)/($C63*$B63),0)</f>
        <v>6.92219579131739</v>
      </c>
      <c r="K63" s="37" t="str">
        <f aca="false">IF($H63&gt;=$C$4,"AMAN","NER DI BAWAH BATAS — PERIKSA")</f>
        <v>AMAN</v>
      </c>
    </row>
    <row r="64" customFormat="false" ht="15" hidden="false" customHeight="false" outlineLevel="0" collapsed="false">
      <c r="A64" s="34" t="str">
        <f aca="false">04_KALKULASI!A66</f>
        <v>MNS-01-26A</v>
      </c>
      <c r="B64" s="36" t="n">
        <f aca="false">04_KALKULASI!C66</f>
        <v>605</v>
      </c>
      <c r="C64" s="36" t="n">
        <f aca="false">04_KALKULASI!S66</f>
        <v>194000</v>
      </c>
      <c r="D64" s="35" t="n">
        <f aca="false">01_ASUMSI!$B$65</f>
        <v>36</v>
      </c>
      <c r="E64" s="35" t="n">
        <f aca="false">01_ASUMSI!$B$66</f>
        <v>2</v>
      </c>
      <c r="F64" s="40" t="n">
        <f aca="false">01_ASUMSI!$B$67*$B64</f>
        <v>151250000</v>
      </c>
      <c r="G64" s="40" t="n">
        <f aca="false">$C64*$B64*$D64*01_ASUMSI!$B$68</f>
        <v>84506400</v>
      </c>
      <c r="H64" s="40" t="n">
        <f aca="false">IFERROR(($C64*($D64-$E64)-($F64+$G64)/$B64)/$D64,0)</f>
        <v>172397.777777778</v>
      </c>
      <c r="I64" s="54" t="n">
        <f aca="false">IFERROR($H64/$C$4-1,0)</f>
        <v>0.093281546876435</v>
      </c>
      <c r="J64" s="55" t="n">
        <f aca="false">IFERROR($D64*(1-$C$4/$C64)-($F64+$G64)/($C64*$B64),0)</f>
        <v>4.72958206384193</v>
      </c>
      <c r="K64" s="37" t="str">
        <f aca="false">IF($H64&gt;=$C$4,"AMAN","NER DI BAWAH BATAS — PERIKSA")</f>
        <v>AMAN</v>
      </c>
    </row>
    <row r="65" customFormat="false" ht="15" hidden="false" customHeight="false" outlineLevel="0" collapsed="false">
      <c r="A65" s="34" t="str">
        <f aca="false">04_KALKULASI!A67</f>
        <v>MNS-01-26B</v>
      </c>
      <c r="B65" s="36" t="n">
        <f aca="false">04_KALKULASI!C67</f>
        <v>595</v>
      </c>
      <c r="C65" s="36" t="n">
        <f aca="false">04_KALKULASI!S67</f>
        <v>189000</v>
      </c>
      <c r="D65" s="35" t="n">
        <f aca="false">01_ASUMSI!$B$65</f>
        <v>36</v>
      </c>
      <c r="E65" s="35" t="n">
        <f aca="false">01_ASUMSI!$B$66</f>
        <v>2</v>
      </c>
      <c r="F65" s="40" t="n">
        <f aca="false">01_ASUMSI!$B$67*$B65</f>
        <v>148750000</v>
      </c>
      <c r="G65" s="40" t="n">
        <f aca="false">$C65*$B65*$D65*01_ASUMSI!$B$68</f>
        <v>80967600</v>
      </c>
      <c r="H65" s="40" t="n">
        <f aca="false">IFERROR(($C65*($D65-$E65)-($F65+$G65)/$B65)/$D65,0)</f>
        <v>167775.555555556</v>
      </c>
      <c r="I65" s="54" t="n">
        <f aca="false">IFERROR($H65/$C$4-1,0)</f>
        <v>0.0639691605669572</v>
      </c>
      <c r="J65" s="55" t="n">
        <f aca="false">IFERROR($D65*(1-$C$4/$C65)-($F65+$G65)/($C65*$B65),0)</f>
        <v>3.92136994912875</v>
      </c>
      <c r="K65" s="37" t="str">
        <f aca="false">IF($H65&gt;=$C$4,"AMAN","NER DI BAWAH BATAS — PERIKSA")</f>
        <v>AMAN</v>
      </c>
    </row>
    <row r="66" customFormat="false" ht="15" hidden="false" customHeight="false" outlineLevel="0" collapsed="false">
      <c r="A66" s="34" t="str">
        <f aca="false">04_KALKULASI!A68</f>
        <v>MNS-01-27A</v>
      </c>
      <c r="B66" s="36" t="n">
        <f aca="false">04_KALKULASI!C68</f>
        <v>575</v>
      </c>
      <c r="C66" s="36" t="n">
        <f aca="false">04_KALKULASI!S68</f>
        <v>197500</v>
      </c>
      <c r="D66" s="35" t="n">
        <f aca="false">01_ASUMSI!$B$65</f>
        <v>36</v>
      </c>
      <c r="E66" s="35" t="n">
        <f aca="false">01_ASUMSI!$B$66</f>
        <v>2</v>
      </c>
      <c r="F66" s="40" t="n">
        <f aca="false">01_ASUMSI!$B$67*$B66</f>
        <v>143750000</v>
      </c>
      <c r="G66" s="40" t="n">
        <f aca="false">$C66*$B66*$D66*01_ASUMSI!$B$68</f>
        <v>81765000</v>
      </c>
      <c r="H66" s="40" t="n">
        <f aca="false">IFERROR(($C66*($D66-$E66)-($F66+$G66)/$B66)/$D66,0)</f>
        <v>175633.333333333</v>
      </c>
      <c r="I66" s="54" t="n">
        <f aca="false">IFERROR($H66/$C$4-1,0)</f>
        <v>0.11380021729307</v>
      </c>
      <c r="J66" s="55" t="n">
        <f aca="false">IFERROR($D66*(1-$C$4/$C66)-($F66+$G66)/($C66*$B66),0)</f>
        <v>5.27098187536878</v>
      </c>
      <c r="K66" s="37" t="str">
        <f aca="false">IF($H66&gt;=$C$4,"AMAN","NER DI BAWAH BATAS — PERIKSA")</f>
        <v>AMAN</v>
      </c>
    </row>
    <row r="67" customFormat="false" ht="15" hidden="false" customHeight="false" outlineLevel="0" collapsed="false">
      <c r="A67" s="34" t="str">
        <f aca="false">04_KALKULASI!A69</f>
        <v>MNS-01-27B</v>
      </c>
      <c r="B67" s="36" t="n">
        <f aca="false">04_KALKULASI!C69</f>
        <v>625</v>
      </c>
      <c r="C67" s="36" t="n">
        <f aca="false">04_KALKULASI!S69</f>
        <v>197500</v>
      </c>
      <c r="D67" s="35" t="n">
        <f aca="false">01_ASUMSI!$B$65</f>
        <v>36</v>
      </c>
      <c r="E67" s="35" t="n">
        <f aca="false">01_ASUMSI!$B$66</f>
        <v>2</v>
      </c>
      <c r="F67" s="40" t="n">
        <f aca="false">01_ASUMSI!$B$67*$B67</f>
        <v>156250000</v>
      </c>
      <c r="G67" s="40" t="n">
        <f aca="false">$C67*$B67*$D67*01_ASUMSI!$B$68</f>
        <v>88875000</v>
      </c>
      <c r="H67" s="40" t="n">
        <f aca="false">IFERROR(($C67*($D67-$E67)-($F67+$G67)/$B67)/$D67,0)</f>
        <v>175633.333333333</v>
      </c>
      <c r="I67" s="54" t="n">
        <f aca="false">IFERROR($H67/$C$4-1,0)</f>
        <v>0.11380021729307</v>
      </c>
      <c r="J67" s="55" t="n">
        <f aca="false">IFERROR($D67*(1-$C$4/$C67)-($F67+$G67)/($C67*$B67),0)</f>
        <v>5.27098187536878</v>
      </c>
      <c r="K67" s="37" t="str">
        <f aca="false">IF($H67&gt;=$C$4,"AMAN","NER DI BAWAH BATAS — PERIKSA")</f>
        <v>AMAN</v>
      </c>
    </row>
    <row r="68" customFormat="false" ht="15" hidden="false" customHeight="false" outlineLevel="0" collapsed="false">
      <c r="A68" s="34" t="str">
        <f aca="false">04_KALKULASI!A70</f>
        <v>MNS-01-28A</v>
      </c>
      <c r="B68" s="36" t="n">
        <f aca="false">04_KALKULASI!C70</f>
        <v>1200</v>
      </c>
      <c r="C68" s="36" t="n">
        <f aca="false">04_KALKULASI!S70</f>
        <v>201500</v>
      </c>
      <c r="D68" s="35" t="n">
        <f aca="false">01_ASUMSI!$B$65</f>
        <v>36</v>
      </c>
      <c r="E68" s="35" t="n">
        <f aca="false">01_ASUMSI!$B$66</f>
        <v>2</v>
      </c>
      <c r="F68" s="40" t="n">
        <f aca="false">01_ASUMSI!$B$67*$B68</f>
        <v>300000000</v>
      </c>
      <c r="G68" s="40" t="n">
        <f aca="false">$C68*$B68*$D68*01_ASUMSI!$B$68</f>
        <v>174096000</v>
      </c>
      <c r="H68" s="40" t="n">
        <f aca="false">IFERROR(($C68*($D68-$E68)-($F68+$G68)/$B68)/$D68,0)</f>
        <v>179331.111111111</v>
      </c>
      <c r="I68" s="54" t="n">
        <f aca="false">IFERROR($H68/$C$4-1,0)</f>
        <v>0.137250126340652</v>
      </c>
      <c r="J68" s="55" t="n">
        <f aca="false">IFERROR($D68*(1-$C$4/$C68)-($F68+$G68)/($C68*$B68),0)</f>
        <v>5.86669439397188</v>
      </c>
      <c r="K68" s="37" t="str">
        <f aca="false">IF($H68&gt;=$C$4,"AMAN","NER DI BAWAH BATAS — PERIKSA")</f>
        <v>AMAN</v>
      </c>
    </row>
    <row r="69" customFormat="false" ht="15" hidden="false" customHeight="false" outlineLevel="0" collapsed="false">
      <c r="A69" s="34" t="str">
        <f aca="false">04_KALKULASI!A71</f>
        <v>MNS-01-29A</v>
      </c>
      <c r="B69" s="36" t="n">
        <f aca="false">04_KALKULASI!C71</f>
        <v>1200</v>
      </c>
      <c r="C69" s="36" t="n">
        <f aca="false">04_KALKULASI!S71</f>
        <v>201500</v>
      </c>
      <c r="D69" s="35" t="n">
        <f aca="false">01_ASUMSI!$B$65</f>
        <v>36</v>
      </c>
      <c r="E69" s="35" t="n">
        <f aca="false">01_ASUMSI!$B$66</f>
        <v>2</v>
      </c>
      <c r="F69" s="40" t="n">
        <f aca="false">01_ASUMSI!$B$67*$B69</f>
        <v>300000000</v>
      </c>
      <c r="G69" s="40" t="n">
        <f aca="false">$C69*$B69*$D69*01_ASUMSI!$B$68</f>
        <v>174096000</v>
      </c>
      <c r="H69" s="40" t="n">
        <f aca="false">IFERROR(($C69*($D69-$E69)-($F69+$G69)/$B69)/$D69,0)</f>
        <v>179331.111111111</v>
      </c>
      <c r="I69" s="54" t="n">
        <f aca="false">IFERROR($H69/$C$4-1,0)</f>
        <v>0.137250126340652</v>
      </c>
      <c r="J69" s="55" t="n">
        <f aca="false">IFERROR($D69*(1-$C$4/$C69)-($F69+$G69)/($C69*$B69),0)</f>
        <v>5.86669439397188</v>
      </c>
      <c r="K69" s="37" t="str">
        <f aca="false">IF($H69&gt;=$C$4,"AMAN","NER DI BAWAH BATAS — PERIKSA")</f>
        <v>AMAN</v>
      </c>
    </row>
    <row r="70" customFormat="false" ht="15" hidden="false" customHeight="false" outlineLevel="0" collapsed="false">
      <c r="A70" s="34" t="str">
        <f aca="false">04_KALKULASI!A72</f>
        <v>MNS-01-30A</v>
      </c>
      <c r="B70" s="36" t="n">
        <f aca="false">04_KALKULASI!C72</f>
        <v>1200</v>
      </c>
      <c r="C70" s="36" t="n">
        <f aca="false">04_KALKULASI!S72</f>
        <v>191500</v>
      </c>
      <c r="D70" s="35" t="n">
        <f aca="false">01_ASUMSI!$B$65</f>
        <v>36</v>
      </c>
      <c r="E70" s="35" t="n">
        <f aca="false">01_ASUMSI!$B$66</f>
        <v>2</v>
      </c>
      <c r="F70" s="40" t="n">
        <f aca="false">01_ASUMSI!$B$67*$B70</f>
        <v>300000000</v>
      </c>
      <c r="G70" s="40" t="n">
        <f aca="false">$C70*$B70*$D70*01_ASUMSI!$B$68</f>
        <v>165456000</v>
      </c>
      <c r="H70" s="40" t="n">
        <f aca="false">IFERROR(($C70*($D70-$E70)-($F70+$G70)/$B70)/$D70,0)</f>
        <v>170086.666666667</v>
      </c>
      <c r="I70" s="54" t="n">
        <f aca="false">IFERROR($H70/$C$4-1,0)</f>
        <v>0.0786253537216959</v>
      </c>
      <c r="J70" s="55" t="n">
        <f aca="false">IFERROR($D70*(1-$C$4/$C70)-($F70+$G70)/($C70*$B70),0)</f>
        <v>4.33075154248216</v>
      </c>
      <c r="K70" s="37" t="str">
        <f aca="false">IF($H70&gt;=$C$4,"AMAN","NER DI BAWAH BATAS — PERIKSA")</f>
        <v>AMAN</v>
      </c>
    </row>
    <row r="72" customFormat="false" ht="15" hidden="false" customHeight="false" outlineLevel="0" collapsed="false">
      <c r="A72" s="4" t="s">
        <v>463</v>
      </c>
      <c r="B72" s="27" t="n">
        <f aca="false">SUM($B$7:$B$70)</f>
        <v>33600</v>
      </c>
      <c r="H72" s="27" t="n">
        <f aca="false">IFERROR(SUMPRODUCT($B$7:$B$70,$H$7:$H$70)/SUM($B$7:$B$70),0)</f>
        <v>164584.227513228</v>
      </c>
      <c r="J72" s="56" t="n">
        <f aca="false">IFERROR(SUMPRODUCT($B$7:$B$70,$J$7:$J$70)/SUM($B$7:$B$70),0)</f>
        <v>3.17974010667327</v>
      </c>
    </row>
    <row r="73" customFormat="false" ht="15" hidden="false" customHeight="false" outlineLevel="0" collapsed="false">
      <c r="A73" s="57" t="str">
        <f aca="false">COUNTIF($K$7:$K$70,"AMAN")&amp;" unit AMAN dari "&amp;COUNTA($K$7:$K$70)&amp;" unit"</f>
        <v>43 unit AMAN dari 64 unit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8"/>
    <col collapsed="false" customWidth="true" hidden="false" outlineLevel="0" max="8" min="8" style="0" width="40"/>
  </cols>
  <sheetData>
    <row r="1" customFormat="false" ht="24" hidden="false" customHeight="true" outlineLevel="0" collapsed="false">
      <c r="A1" s="1" t="s">
        <v>464</v>
      </c>
      <c r="B1" s="2"/>
      <c r="C1" s="2"/>
      <c r="D1" s="2"/>
      <c r="E1" s="2"/>
      <c r="F1" s="2"/>
      <c r="G1" s="2"/>
      <c r="H1" s="2"/>
    </row>
    <row r="3" customFormat="false" ht="15" hidden="false" customHeight="false" outlineLevel="0" collapsed="false">
      <c r="A3" s="7" t="s">
        <v>465</v>
      </c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57" t="s">
        <v>466</v>
      </c>
      <c r="B4" s="58" t="n">
        <v>0.65</v>
      </c>
      <c r="C4" s="58" t="n">
        <v>0.7</v>
      </c>
      <c r="D4" s="58" t="n">
        <v>0.75</v>
      </c>
      <c r="E4" s="58" t="n">
        <v>0.8</v>
      </c>
      <c r="F4" s="58" t="n">
        <v>0.85</v>
      </c>
    </row>
    <row r="5" customFormat="false" ht="15" hidden="false" customHeight="false" outlineLevel="0" collapsed="false">
      <c r="A5" s="59" t="n">
        <f aca="false">01_ASUMSI!$B$21*(1+-0.1)</f>
        <v>166964.149400431</v>
      </c>
      <c r="B5" s="60" t="n">
        <f aca="false">$A5*01_ASUMSI!$B$12*B$4*12</f>
        <v>43757964274.8651</v>
      </c>
      <c r="C5" s="60" t="n">
        <f aca="false">$A5*01_ASUMSI!$B$12*C$4*12</f>
        <v>47123961526.7777</v>
      </c>
      <c r="D5" s="60" t="n">
        <f aca="false">$A5*01_ASUMSI!$B$12*D$4*12</f>
        <v>50489958778.6904</v>
      </c>
      <c r="E5" s="60" t="n">
        <f aca="false">$A5*01_ASUMSI!$B$12*E$4*12</f>
        <v>53855956030.6031</v>
      </c>
      <c r="F5" s="60" t="n">
        <f aca="false">$A5*01_ASUMSI!$B$12*F$4*12</f>
        <v>57221953282.5158</v>
      </c>
    </row>
    <row r="6" customFormat="false" ht="15" hidden="false" customHeight="false" outlineLevel="0" collapsed="false">
      <c r="A6" s="59" t="n">
        <f aca="false">01_ASUMSI!$B$21*(1+-0.05)</f>
        <v>176239.935478233</v>
      </c>
      <c r="B6" s="60" t="n">
        <f aca="false">$A6*01_ASUMSI!$B$12*B$4*12</f>
        <v>46188962290.1353</v>
      </c>
      <c r="C6" s="60" t="n">
        <f aca="false">$A6*01_ASUMSI!$B$12*C$4*12</f>
        <v>49741959389.3765</v>
      </c>
      <c r="D6" s="60" t="n">
        <f aca="false">$A6*01_ASUMSI!$B$12*D$4*12</f>
        <v>53294956488.6177</v>
      </c>
      <c r="E6" s="60" t="n">
        <f aca="false">$A6*01_ASUMSI!$B$12*E$4*12</f>
        <v>56847953587.8589</v>
      </c>
      <c r="F6" s="60" t="n">
        <f aca="false">$A6*01_ASUMSI!$B$12*F$4*12</f>
        <v>60400950687.1</v>
      </c>
    </row>
    <row r="7" customFormat="false" ht="15" hidden="false" customHeight="false" outlineLevel="0" collapsed="false">
      <c r="A7" s="59" t="n">
        <f aca="false">01_ASUMSI!$B$21*(1+0)</f>
        <v>185515.721556035</v>
      </c>
      <c r="B7" s="60" t="n">
        <f aca="false">$A7*01_ASUMSI!$B$12*B$4*12</f>
        <v>48619960305.4056</v>
      </c>
      <c r="C7" s="60" t="n">
        <f aca="false">$A7*01_ASUMSI!$B$12*C$4*12</f>
        <v>52359957251.9753</v>
      </c>
      <c r="D7" s="60" t="n">
        <f aca="false">$A7*01_ASUMSI!$B$12*D$4*12</f>
        <v>56099954198.5449</v>
      </c>
      <c r="E7" s="60" t="n">
        <f aca="false">$A7*01_ASUMSI!$B$12*E$4*12</f>
        <v>59839951145.1146</v>
      </c>
      <c r="F7" s="60" t="n">
        <f aca="false">$A7*01_ASUMSI!$B$12*F$4*12</f>
        <v>63579948091.6843</v>
      </c>
    </row>
    <row r="8" customFormat="false" ht="15" hidden="false" customHeight="false" outlineLevel="0" collapsed="false">
      <c r="A8" s="59" t="n">
        <f aca="false">01_ASUMSI!$B$21*(1+0.06)</f>
        <v>196646.664849397</v>
      </c>
      <c r="B8" s="60" t="n">
        <f aca="false">$A8*01_ASUMSI!$B$12*B$4*12</f>
        <v>51537157923.7299</v>
      </c>
      <c r="C8" s="60" t="n">
        <f aca="false">$A8*01_ASUMSI!$B$12*C$4*12</f>
        <v>55501554687.0938</v>
      </c>
      <c r="D8" s="60" t="n">
        <f aca="false">$A8*01_ASUMSI!$B$12*D$4*12</f>
        <v>59465951450.4576</v>
      </c>
      <c r="E8" s="60" t="n">
        <f aca="false">$A8*01_ASUMSI!$B$12*E$4*12</f>
        <v>63430348213.8215</v>
      </c>
      <c r="F8" s="60" t="n">
        <f aca="false">$A8*01_ASUMSI!$B$12*F$4*12</f>
        <v>67394744977.1853</v>
      </c>
    </row>
    <row r="9" customFormat="false" ht="15" hidden="false" customHeight="false" outlineLevel="0" collapsed="false">
      <c r="A9" s="59" t="n">
        <f aca="false">01_ASUMSI!$B$21*(1+0.11)</f>
        <v>205922.450927199</v>
      </c>
      <c r="B9" s="60" t="n">
        <f aca="false">$A9*01_ASUMSI!$B$12*B$4*12</f>
        <v>53968155939.0002</v>
      </c>
      <c r="C9" s="60" t="n">
        <f aca="false">$A9*01_ASUMSI!$B$12*C$4*12</f>
        <v>58119552549.6926</v>
      </c>
      <c r="D9" s="60" t="n">
        <f aca="false">$A9*01_ASUMSI!$B$12*D$4*12</f>
        <v>62270949160.3849</v>
      </c>
      <c r="E9" s="60" t="n">
        <f aca="false">$A9*01_ASUMSI!$B$12*E$4*12</f>
        <v>66422345771.0772</v>
      </c>
      <c r="F9" s="60" t="n">
        <f aca="false">$A9*01_ASUMSI!$B$12*F$4*12</f>
        <v>70573742381.7695</v>
      </c>
    </row>
    <row r="11" customFormat="false" ht="15" hidden="false" customHeight="false" outlineLevel="0" collapsed="false">
      <c r="A11" s="57" t="s">
        <v>467</v>
      </c>
      <c r="B11" s="61" t="n">
        <f aca="false">06_UJI_KELAYAKAN!$C$18*01_ASUMSI!$B$12*(01_ASUMSI!$B$54-01_ASUMSI!$B$55)*12</f>
        <v>50320000000</v>
      </c>
      <c r="C11" s="28" t="s">
        <v>468</v>
      </c>
    </row>
    <row r="13" customFormat="false" ht="15" hidden="false" customHeight="false" outlineLevel="0" collapsed="false">
      <c r="A13" s="7" t="s">
        <v>469</v>
      </c>
      <c r="B13" s="8"/>
      <c r="C13" s="8"/>
      <c r="D13" s="8"/>
      <c r="E13" s="8"/>
      <c r="F13" s="8"/>
      <c r="G13" s="8"/>
      <c r="H13" s="8"/>
    </row>
    <row r="14" customFormat="false" ht="31.5" hidden="false" customHeight="true" outlineLevel="0" collapsed="false">
      <c r="A14" s="25" t="s">
        <v>470</v>
      </c>
      <c r="B14" s="25" t="s">
        <v>471</v>
      </c>
      <c r="C14" s="25" t="s">
        <v>472</v>
      </c>
      <c r="D14" s="25" t="s">
        <v>473</v>
      </c>
      <c r="E14" s="25" t="s">
        <v>474</v>
      </c>
      <c r="F14" s="25" t="s">
        <v>475</v>
      </c>
      <c r="G14" s="25"/>
      <c r="H14" s="25" t="s">
        <v>188</v>
      </c>
    </row>
    <row r="15" customFormat="false" ht="15" hidden="false" customHeight="false" outlineLevel="0" collapsed="false">
      <c r="A15" s="62" t="n">
        <v>-0.1</v>
      </c>
      <c r="B15" s="63" t="n">
        <f aca="false">01_ASUMSI!$B$21*(1+$A15)</f>
        <v>166964.149400431</v>
      </c>
      <c r="C15" s="64" t="n">
        <f aca="false">01_ASUMSI!$B$54*(1+$A15)^01_ASUMSI!$B$73</f>
        <v>0.830900646778958</v>
      </c>
      <c r="D15" s="63" t="n">
        <f aca="false">$B15*$C15</f>
        <v>138730.619725717</v>
      </c>
      <c r="E15" s="63" t="n">
        <f aca="false">$D15*01_ASUMSI!$B$12*12</f>
        <v>55936185873.4091</v>
      </c>
      <c r="F15" s="64" t="n">
        <f aca="false">IFERROR($E15/$E$17-1,0)</f>
        <v>-0.0412684844858172</v>
      </c>
      <c r="H15" s="12" t="s">
        <v>476</v>
      </c>
    </row>
    <row r="16" customFormat="false" ht="15" hidden="false" customHeight="false" outlineLevel="0" collapsed="false">
      <c r="A16" s="62" t="n">
        <v>-0.05</v>
      </c>
      <c r="B16" s="63" t="n">
        <f aca="false">01_ASUMSI!$B$21*(1+$A16)</f>
        <v>176239.935478233</v>
      </c>
      <c r="C16" s="64" t="n">
        <f aca="false">01_ASUMSI!$B$54*(1+$A16)^01_ASUMSI!$B$73</f>
        <v>0.80437847327122</v>
      </c>
      <c r="D16" s="63" t="n">
        <f aca="false">$B16*$C16</f>
        <v>141763.610229399</v>
      </c>
      <c r="E16" s="63" t="n">
        <f aca="false">$D16*01_ASUMSI!$B$12*12</f>
        <v>57159087644.4939</v>
      </c>
      <c r="F16" s="64" t="n">
        <f aca="false">IFERROR($E16/$E$17-1,0)</f>
        <v>-0.0203082697337702</v>
      </c>
    </row>
    <row r="17" customFormat="false" ht="15" hidden="false" customHeight="false" outlineLevel="0" collapsed="false">
      <c r="A17" s="62" t="n">
        <v>0</v>
      </c>
      <c r="B17" s="63" t="n">
        <f aca="false">01_ASUMSI!$B$21*(1+$A17)</f>
        <v>185515.721556035</v>
      </c>
      <c r="C17" s="64" t="n">
        <f aca="false">01_ASUMSI!$B$54*(1+$A17)^01_ASUMSI!$B$73</f>
        <v>0.78</v>
      </c>
      <c r="D17" s="63" t="n">
        <f aca="false">$B17*$C17</f>
        <v>144702.262813707</v>
      </c>
      <c r="E17" s="63" t="n">
        <f aca="false">$D17*01_ASUMSI!$B$12*12</f>
        <v>58343952366.4867</v>
      </c>
      <c r="F17" s="64" t="n">
        <f aca="false">IFERROR($E17/$E$17-1,0)</f>
        <v>0</v>
      </c>
    </row>
    <row r="18" customFormat="false" ht="15" hidden="false" customHeight="false" outlineLevel="0" collapsed="false">
      <c r="A18" s="62" t="n">
        <v>0.06</v>
      </c>
      <c r="B18" s="63" t="n">
        <f aca="false">01_ASUMSI!$B$21*(1+$A18)</f>
        <v>196646.664849397</v>
      </c>
      <c r="C18" s="64" t="n">
        <f aca="false">01_ASUMSI!$B$54*(1+$A18)^01_ASUMSI!$B$73</f>
        <v>0.753201339210566</v>
      </c>
      <c r="D18" s="63" t="n">
        <f aca="false">$B18*$C18</f>
        <v>148114.531315857</v>
      </c>
      <c r="E18" s="63" t="n">
        <f aca="false">$D18*01_ASUMSI!$B$12*12</f>
        <v>59719779026.5535</v>
      </c>
      <c r="F18" s="64" t="n">
        <f aca="false">IFERROR($E18/$E$17-1,0)</f>
        <v>0.0235813071323072</v>
      </c>
    </row>
    <row r="19" customFormat="false" ht="15" hidden="false" customHeight="false" outlineLevel="0" collapsed="false">
      <c r="A19" s="62" t="n">
        <v>0.11</v>
      </c>
      <c r="B19" s="63" t="n">
        <f aca="false">01_ASUMSI!$B$21*(1+$A19)</f>
        <v>205922.450927199</v>
      </c>
      <c r="C19" s="64" t="n">
        <f aca="false">01_ASUMSI!$B$54*(1+$A19)^01_ASUMSI!$B$73</f>
        <v>0.732657189093837</v>
      </c>
      <c r="D19" s="63" t="n">
        <f aca="false">$B19*$C19</f>
        <v>150870.564067635</v>
      </c>
      <c r="E19" s="63" t="n">
        <f aca="false">$D19*01_ASUMSI!$B$12*12</f>
        <v>60831011432.0704</v>
      </c>
      <c r="F19" s="64" t="n">
        <f aca="false">IFERROR($E19/$E$17-1,0)</f>
        <v>0.0426275383258445</v>
      </c>
    </row>
    <row r="22" customFormat="false" ht="15" hidden="false" customHeight="false" outlineLevel="0" collapsed="false">
      <c r="A22" s="7" t="s">
        <v>477</v>
      </c>
      <c r="B22" s="8"/>
      <c r="C22" s="8"/>
      <c r="D22" s="8"/>
      <c r="E22" s="8"/>
      <c r="F22" s="8"/>
      <c r="G22" s="8"/>
      <c r="H22" s="8"/>
    </row>
    <row r="23" customFormat="false" ht="31.5" hidden="false" customHeight="true" outlineLevel="0" collapsed="false">
      <c r="A23" s="25" t="s">
        <v>478</v>
      </c>
      <c r="B23" s="25" t="s">
        <v>479</v>
      </c>
      <c r="C23" s="25" t="s">
        <v>480</v>
      </c>
      <c r="D23" s="25" t="s">
        <v>481</v>
      </c>
      <c r="E23" s="25" t="s">
        <v>482</v>
      </c>
      <c r="F23" s="25" t="s">
        <v>483</v>
      </c>
      <c r="G23" s="25" t="s">
        <v>484</v>
      </c>
      <c r="H23" s="25" t="s">
        <v>485</v>
      </c>
    </row>
    <row r="24" customFormat="false" ht="15" hidden="false" customHeight="false" outlineLevel="0" collapsed="false">
      <c r="A24" s="4" t="s">
        <v>486</v>
      </c>
      <c r="B24" s="15" t="n">
        <v>-0.08</v>
      </c>
      <c r="C24" s="15" t="n">
        <v>-0.07</v>
      </c>
      <c r="D24" s="15" t="n">
        <v>0.02</v>
      </c>
      <c r="E24" s="63" t="n">
        <f aca="false">01_ASUMSI!$B$21*(1+$B24)</f>
        <v>170674.463831552</v>
      </c>
      <c r="F24" s="64" t="n">
        <f aca="false">01_ASUMSI!$B$54+$C24</f>
        <v>0.71</v>
      </c>
      <c r="G24" s="63" t="n">
        <f aca="false">$E24*01_ASUMSI!$B$12*$F24*12</f>
        <v>48859320109.9861</v>
      </c>
      <c r="H24" s="12" t="s">
        <v>487</v>
      </c>
    </row>
    <row r="25" customFormat="false" ht="15" hidden="false" customHeight="false" outlineLevel="0" collapsed="false">
      <c r="A25" s="4" t="s">
        <v>488</v>
      </c>
      <c r="B25" s="15" t="n">
        <v>0</v>
      </c>
      <c r="C25" s="15" t="n">
        <v>0</v>
      </c>
      <c r="D25" s="15" t="n">
        <v>0.03</v>
      </c>
      <c r="E25" s="63" t="n">
        <f aca="false">01_ASUMSI!$B$21*(1+$B25)</f>
        <v>185515.721556035</v>
      </c>
      <c r="F25" s="64" t="n">
        <f aca="false">01_ASUMSI!$B$54+$C25</f>
        <v>0.78</v>
      </c>
      <c r="G25" s="63" t="n">
        <f aca="false">$E25*01_ASUMSI!$B$12*$F25*12</f>
        <v>58343952366.4867</v>
      </c>
      <c r="H25" s="12" t="s">
        <v>489</v>
      </c>
    </row>
    <row r="26" customFormat="false" ht="15" hidden="false" customHeight="false" outlineLevel="0" collapsed="false">
      <c r="A26" s="4" t="s">
        <v>490</v>
      </c>
      <c r="B26" s="15" t="n">
        <v>0.06</v>
      </c>
      <c r="C26" s="15" t="n">
        <v>0.05</v>
      </c>
      <c r="D26" s="15" t="n">
        <v>0.04</v>
      </c>
      <c r="E26" s="63" t="n">
        <f aca="false">01_ASUMSI!$B$21*(1+$B26)</f>
        <v>196646.664849397</v>
      </c>
      <c r="F26" s="64" t="n">
        <f aca="false">01_ASUMSI!$B$54+$C26</f>
        <v>0.83</v>
      </c>
      <c r="G26" s="63" t="n">
        <f aca="false">$E26*01_ASUMSI!$B$12*$F26*12</f>
        <v>65808986271.8398</v>
      </c>
      <c r="H26" s="12" t="s">
        <v>491</v>
      </c>
    </row>
    <row r="28" customFormat="false" ht="15" hidden="false" customHeight="false" outlineLevel="0" collapsed="false">
      <c r="A28" s="7" t="s">
        <v>492</v>
      </c>
      <c r="B28" s="8"/>
      <c r="C28" s="8"/>
      <c r="D28" s="8"/>
      <c r="E28" s="8"/>
      <c r="F28" s="8"/>
      <c r="G28" s="8"/>
      <c r="H28" s="8"/>
    </row>
    <row r="29" customFormat="false" ht="31.5" hidden="false" customHeight="true" outlineLevel="0" collapsed="false">
      <c r="A29" s="25" t="s">
        <v>493</v>
      </c>
      <c r="B29" s="25" t="s">
        <v>494</v>
      </c>
      <c r="C29" s="25" t="s">
        <v>495</v>
      </c>
      <c r="D29" s="25" t="s">
        <v>496</v>
      </c>
      <c r="E29" s="25" t="s">
        <v>497</v>
      </c>
      <c r="F29" s="25" t="s">
        <v>498</v>
      </c>
      <c r="G29" s="25"/>
      <c r="H29" s="25"/>
    </row>
    <row r="30" customFormat="false" ht="15" hidden="false" customHeight="false" outlineLevel="0" collapsed="false">
      <c r="A30" s="65" t="n">
        <v>1</v>
      </c>
      <c r="B30" s="63" t="n">
        <f aca="false">01_ASUMSI!$B$21*(1+01_ASUMSI!$B$57)^($A30-1)</f>
        <v>185515.721556035</v>
      </c>
      <c r="C30" s="63" t="n">
        <f aca="false">01_ASUMSI!$B$22*(1+01_ASUMSI!$B$58)^($A30-1)</f>
        <v>62000</v>
      </c>
      <c r="D30" s="63" t="n">
        <f aca="false">$B30+$C30</f>
        <v>247515.721556035</v>
      </c>
      <c r="E30" s="63" t="n">
        <f aca="false">$B30*01_ASUMSI!$B$12*01_ASUMSI!$B$54*12</f>
        <v>58343952366.4867</v>
      </c>
      <c r="F30" s="63" t="n">
        <f aca="false">$E30/(1+01_ASUMSI!$B$56)^$A30</f>
        <v>52562119249.0871</v>
      </c>
    </row>
    <row r="31" customFormat="false" ht="15" hidden="false" customHeight="false" outlineLevel="0" collapsed="false">
      <c r="A31" s="65" t="n">
        <v>2</v>
      </c>
      <c r="B31" s="63" t="n">
        <f aca="false">01_ASUMSI!$B$21*(1+01_ASUMSI!$B$57)^($A31-1)</f>
        <v>191081.193202716</v>
      </c>
      <c r="C31" s="63" t="n">
        <f aca="false">01_ASUMSI!$B$22*(1+01_ASUMSI!$B$58)^($A31-1)</f>
        <v>63860</v>
      </c>
      <c r="D31" s="63" t="n">
        <f aca="false">$B31+$C31</f>
        <v>254941.193202716</v>
      </c>
      <c r="E31" s="63" t="n">
        <f aca="false">$B31*01_ASUMSI!$B$12*01_ASUMSI!$B$54*12</f>
        <v>60094270937.4813</v>
      </c>
      <c r="F31" s="63" t="n">
        <f aca="false">$E31/(1+01_ASUMSI!$B$56)^$A31</f>
        <v>48773858402.3061</v>
      </c>
    </row>
    <row r="32" customFormat="false" ht="15" hidden="false" customHeight="false" outlineLevel="0" collapsed="false">
      <c r="A32" s="65" t="n">
        <v>3</v>
      </c>
      <c r="B32" s="63" t="n">
        <f aca="false">01_ASUMSI!$B$21*(1+01_ASUMSI!$B$57)^($A32-1)</f>
        <v>196813.628998797</v>
      </c>
      <c r="C32" s="63" t="n">
        <f aca="false">01_ASUMSI!$B$22*(1+01_ASUMSI!$B$58)^($A32-1)</f>
        <v>65775.8</v>
      </c>
      <c r="D32" s="63" t="n">
        <f aca="false">$B32+$C32</f>
        <v>262589.428998797</v>
      </c>
      <c r="E32" s="63" t="n">
        <f aca="false">$B32*01_ASUMSI!$B$12*01_ASUMSI!$B$54*12</f>
        <v>61897099065.6058</v>
      </c>
      <c r="F32" s="63" t="n">
        <f aca="false">$E32/(1+01_ASUMSI!$B$56)^$A32</f>
        <v>45258625364.302</v>
      </c>
    </row>
    <row r="33" customFormat="false" ht="15" hidden="false" customHeight="false" outlineLevel="0" collapsed="false">
      <c r="A33" s="65" t="n">
        <v>4</v>
      </c>
      <c r="B33" s="63" t="n">
        <f aca="false">01_ASUMSI!$B$21*(1+01_ASUMSI!$B$57)^($A33-1)</f>
        <v>202718.037868761</v>
      </c>
      <c r="C33" s="63" t="n">
        <f aca="false">01_ASUMSI!$B$22*(1+01_ASUMSI!$B$58)^($A33-1)</f>
        <v>67749.074</v>
      </c>
      <c r="D33" s="63" t="n">
        <f aca="false">$B33+$C33</f>
        <v>270467.111868761</v>
      </c>
      <c r="E33" s="63" t="n">
        <f aca="false">$B33*01_ASUMSI!$B$12*01_ASUMSI!$B$54*12</f>
        <v>63754012037.5739</v>
      </c>
      <c r="F33" s="63" t="n">
        <f aca="false">$E33/(1+01_ASUMSI!$B$56)^$A33</f>
        <v>41996742455.1631</v>
      </c>
    </row>
    <row r="34" customFormat="false" ht="15" hidden="false" customHeight="false" outlineLevel="0" collapsed="false">
      <c r="A34" s="65" t="n">
        <v>5</v>
      </c>
      <c r="B34" s="63" t="n">
        <f aca="false">01_ASUMSI!$B$21*(1+01_ASUMSI!$B$57)^($A34-1)</f>
        <v>208799.579004824</v>
      </c>
      <c r="C34" s="63" t="n">
        <f aca="false">01_ASUMSI!$B$22*(1+01_ASUMSI!$B$58)^($A34-1)</f>
        <v>69781.54622</v>
      </c>
      <c r="D34" s="63" t="n">
        <f aca="false">$B34+$C34</f>
        <v>278581.125224824</v>
      </c>
      <c r="E34" s="63" t="n">
        <f aca="false">$B34*01_ASUMSI!$B$12*01_ASUMSI!$B$54*12</f>
        <v>65666632398.7012</v>
      </c>
      <c r="F34" s="63" t="n">
        <f aca="false">$E34/(1+01_ASUMSI!$B$56)^$A34</f>
        <v>38969950206.1424</v>
      </c>
    </row>
    <row r="35" customFormat="false" ht="15" hidden="false" customHeight="false" outlineLevel="0" collapsed="false">
      <c r="A35" s="4" t="s">
        <v>286</v>
      </c>
      <c r="E35" s="27" t="n">
        <f aca="false">SUM(E30:E34)</f>
        <v>309755966805.849</v>
      </c>
      <c r="F35" s="27" t="n">
        <f aca="false">SUM(F30:F34)</f>
        <v>227561295677.001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44"/>
  </cols>
  <sheetData>
    <row r="1" customFormat="false" ht="24" hidden="false" customHeight="true" outlineLevel="0" collapsed="false">
      <c r="A1" s="1" t="s">
        <v>499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7" t="s">
        <v>500</v>
      </c>
      <c r="B3" s="8"/>
      <c r="C3" s="8"/>
      <c r="D3" s="8"/>
      <c r="E3" s="8"/>
      <c r="F3" s="8"/>
    </row>
    <row r="4" customFormat="false" ht="15" hidden="false" customHeight="false" outlineLevel="0" collapsed="false">
      <c r="A4" s="10" t="s">
        <v>63</v>
      </c>
      <c r="B4" s="66" t="str">
        <f aca="false">01_ASUMSI!$B$6</f>
        <v>Menara Nusantara</v>
      </c>
    </row>
    <row r="5" customFormat="false" ht="15" hidden="false" customHeight="false" outlineLevel="0" collapsed="false">
      <c r="A5" s="10" t="s">
        <v>501</v>
      </c>
      <c r="B5" s="67" t="n">
        <f aca="false">COUNTA(04_KALKULASI!$A$9:$A$72)</f>
        <v>64</v>
      </c>
    </row>
    <row r="6" customFormat="false" ht="15" hidden="false" customHeight="false" outlineLevel="0" collapsed="false">
      <c r="A6" s="10" t="s">
        <v>502</v>
      </c>
      <c r="B6" s="18" t="n">
        <f aca="false">SUM(04_KALKULASI!$C$9:$C$72)</f>
        <v>33600</v>
      </c>
    </row>
    <row r="7" customFormat="false" ht="15" hidden="false" customHeight="false" outlineLevel="0" collapsed="false">
      <c r="A7" s="4" t="s">
        <v>340</v>
      </c>
      <c r="B7" s="68" t="n">
        <f aca="false">01_ASUMSI!$B$21</f>
        <v>185515.721556035</v>
      </c>
    </row>
    <row r="8" customFormat="false" ht="15" hidden="false" customHeight="false" outlineLevel="0" collapsed="false">
      <c r="A8" s="10" t="s">
        <v>503</v>
      </c>
      <c r="B8" s="42" t="n">
        <f aca="false">IFERROR(SUMPRODUCT(04_KALKULASI!$C$9:$C$72,04_KALKULASI!$S$9:$S$72)/SUM(04_KALKULASI!$C$9:$C$72),0)</f>
        <v>185547.842261905</v>
      </c>
      <c r="F8" s="12" t="s">
        <v>504</v>
      </c>
    </row>
    <row r="9" customFormat="false" ht="15" hidden="false" customHeight="false" outlineLevel="0" collapsed="false">
      <c r="A9" s="10" t="s">
        <v>505</v>
      </c>
      <c r="B9" s="69" t="str">
        <f aca="false">TEXT(MIN(04_KALKULASI!$S$9:$S$72),"#,##0")&amp;"  s.d.  "&amp;TEXT(MAX(04_KALKULASI!$S$9:$S$72),"#,##0")</f>
        <v>157,000  s.d.  212,000</v>
      </c>
    </row>
    <row r="10" customFormat="false" ht="15" hidden="false" customHeight="false" outlineLevel="0" collapsed="false">
      <c r="A10" s="10" t="s">
        <v>506</v>
      </c>
      <c r="B10" s="70" t="n">
        <f aca="false">04_KALKULASI!$E$7</f>
        <v>0.9185216441391</v>
      </c>
      <c r="F10" s="12" t="s">
        <v>507</v>
      </c>
    </row>
    <row r="11" customFormat="false" ht="15" hidden="false" customHeight="false" outlineLevel="0" collapsed="false">
      <c r="A11" s="10" t="s">
        <v>91</v>
      </c>
      <c r="B11" s="18" t="n">
        <f aca="false">01_ASUMSI!$B$22</f>
        <v>62000</v>
      </c>
    </row>
    <row r="12" customFormat="false" ht="15" hidden="false" customHeight="false" outlineLevel="0" collapsed="false">
      <c r="A12" s="10" t="s">
        <v>508</v>
      </c>
      <c r="B12" s="42" t="n">
        <f aca="false">$B$8+$B$11</f>
        <v>247547.842261905</v>
      </c>
    </row>
    <row r="13" customFormat="false" ht="15" hidden="false" customHeight="false" outlineLevel="0" collapsed="false">
      <c r="A13" s="10" t="s">
        <v>509</v>
      </c>
      <c r="B13" s="42" t="n">
        <f aca="false">$B$8*$B$6*12</f>
        <v>74812890000</v>
      </c>
      <c r="F13" s="12" t="s">
        <v>510</v>
      </c>
    </row>
    <row r="14" customFormat="false" ht="15" hidden="false" customHeight="false" outlineLevel="0" collapsed="false">
      <c r="A14" s="10" t="s">
        <v>511</v>
      </c>
      <c r="B14" s="42" t="n">
        <f aca="false">$B$13*01_ASUMSI!$B$54</f>
        <v>58354054200</v>
      </c>
    </row>
    <row r="15" customFormat="false" ht="15" hidden="false" customHeight="false" outlineLevel="0" collapsed="false">
      <c r="A15" s="10" t="s">
        <v>512</v>
      </c>
      <c r="B15" s="42" t="n">
        <f aca="false">$B$8*01_ASUMSI!$B$54</f>
        <v>144727.316964286</v>
      </c>
      <c r="F15" s="12" t="s">
        <v>513</v>
      </c>
    </row>
    <row r="16" customFormat="false" ht="15" hidden="false" customHeight="false" outlineLevel="0" collapsed="false">
      <c r="A16" s="10" t="s">
        <v>514</v>
      </c>
      <c r="B16" s="16" t="n">
        <f aca="false">IFERROR(SUMIFS(04_KALKULASI!$C$9:$C$72,04_KALKULASI!$AB$9:$AB$72,"Terisi")/SUM(04_KALKULASI!$C$9:$C$72),0)</f>
        <v>0.866815476190476</v>
      </c>
    </row>
    <row r="18" customFormat="false" ht="15" hidden="false" customHeight="false" outlineLevel="0" collapsed="false">
      <c r="A18" s="7" t="s">
        <v>515</v>
      </c>
      <c r="B18" s="8"/>
      <c r="C18" s="8"/>
      <c r="D18" s="8"/>
      <c r="E18" s="8"/>
      <c r="F18" s="8"/>
    </row>
    <row r="19" customFormat="false" ht="31.5" hidden="false" customHeight="true" outlineLevel="0" collapsed="false">
      <c r="A19" s="25" t="s">
        <v>346</v>
      </c>
      <c r="B19" s="25" t="s">
        <v>501</v>
      </c>
      <c r="C19" s="25" t="s">
        <v>516</v>
      </c>
      <c r="D19" s="25" t="s">
        <v>517</v>
      </c>
      <c r="E19" s="25" t="s">
        <v>518</v>
      </c>
      <c r="F19" s="25" t="s">
        <v>188</v>
      </c>
    </row>
    <row r="20" customFormat="false" ht="15" hidden="false" customHeight="false" outlineLevel="0" collapsed="false">
      <c r="A20" s="4" t="s">
        <v>297</v>
      </c>
      <c r="B20" s="65" t="n">
        <f aca="false">COUNTIFS(04_KALKULASI!$D$9:$D$72,$A20)</f>
        <v>8</v>
      </c>
      <c r="C20" s="63" t="n">
        <f aca="false">SUMIFS(04_KALKULASI!$C$9:$C$72,04_KALKULASI!$D$9:$D$72,$A20)</f>
        <v>3600</v>
      </c>
      <c r="D20" s="63" t="n">
        <f aca="false">IFERROR(SUMPRODUCT((04_KALKULASI!$D$9:$D$72=$A20)*04_KALKULASI!$C$9:$C$72*04_KALKULASI!$S$9:$S$72)/$C20,0)</f>
        <v>163525.694444444</v>
      </c>
      <c r="E20" s="71" t="n">
        <f aca="false">IFERROR(AVERAGEIFS(04_KALKULASI!$G$9:$G$72,04_KALKULASI!$D$9:$D$72,$A20),0)</f>
        <v>0.94225</v>
      </c>
    </row>
    <row r="21" customFormat="false" ht="15" hidden="false" customHeight="false" outlineLevel="0" collapsed="false">
      <c r="A21" s="4" t="s">
        <v>299</v>
      </c>
      <c r="B21" s="65" t="n">
        <f aca="false">COUNTIFS(04_KALKULASI!$D$9:$D$72,$A21)</f>
        <v>23</v>
      </c>
      <c r="C21" s="63" t="n">
        <f aca="false">SUMIFS(04_KALKULASI!$C$9:$C$72,04_KALKULASI!$D$9:$D$72,$A21)</f>
        <v>8400</v>
      </c>
      <c r="D21" s="63" t="n">
        <f aca="false">IFERROR(SUMPRODUCT((04_KALKULASI!$D$9:$D$72=$A21)*04_KALKULASI!$C$9:$C$72*04_KALKULASI!$S$9:$S$72)/$C21,0)</f>
        <v>178556.25</v>
      </c>
      <c r="E21" s="71" t="n">
        <f aca="false">IFERROR(AVERAGEIFS(04_KALKULASI!$G$9:$G$72,04_KALKULASI!$D$9:$D$72,$A21),0)</f>
        <v>1.0115652173913</v>
      </c>
    </row>
    <row r="22" customFormat="false" ht="15" hidden="false" customHeight="false" outlineLevel="0" collapsed="false">
      <c r="A22" s="4" t="s">
        <v>301</v>
      </c>
      <c r="B22" s="65" t="n">
        <f aca="false">COUNTIFS(04_KALKULASI!$D$9:$D$72,$A22)</f>
        <v>18</v>
      </c>
      <c r="C22" s="63" t="n">
        <f aca="false">SUMIFS(04_KALKULASI!$C$9:$C$72,04_KALKULASI!$D$9:$D$72,$A22)</f>
        <v>9600</v>
      </c>
      <c r="D22" s="63" t="n">
        <f aca="false">IFERROR(SUMPRODUCT((04_KALKULASI!$D$9:$D$72=$A22)*04_KALKULASI!$C$9:$C$72*04_KALKULASI!$S$9:$S$72)/$C22,0)</f>
        <v>186290.364583333</v>
      </c>
      <c r="E22" s="71" t="n">
        <f aca="false">IFERROR(AVERAGEIFS(04_KALKULASI!$G$9:$G$72,04_KALKULASI!$D$9:$D$72,$A22),0)</f>
        <v>1.056</v>
      </c>
    </row>
    <row r="23" customFormat="false" ht="15" hidden="false" customHeight="false" outlineLevel="0" collapsed="false">
      <c r="A23" s="4" t="s">
        <v>303</v>
      </c>
      <c r="B23" s="65" t="n">
        <f aca="false">COUNTIFS(04_KALKULASI!$D$9:$D$72,$A23)</f>
        <v>12</v>
      </c>
      <c r="C23" s="63" t="n">
        <f aca="false">SUMIFS(04_KALKULASI!$C$9:$C$72,04_KALKULASI!$D$9:$D$72,$A23)</f>
        <v>8400</v>
      </c>
      <c r="D23" s="63" t="n">
        <f aca="false">IFERROR(SUMPRODUCT((04_KALKULASI!$D$9:$D$72=$A23)*04_KALKULASI!$C$9:$C$72*04_KALKULASI!$S$9:$S$72)/$C23,0)</f>
        <v>195720.833333333</v>
      </c>
      <c r="E23" s="71" t="n">
        <f aca="false">IFERROR(AVERAGEIFS(04_KALKULASI!$G$9:$G$72,04_KALKULASI!$D$9:$D$72,$A23),0)</f>
        <v>1.098125</v>
      </c>
    </row>
    <row r="24" customFormat="false" ht="15" hidden="false" customHeight="false" outlineLevel="0" collapsed="false">
      <c r="A24" s="4" t="s">
        <v>305</v>
      </c>
      <c r="B24" s="65" t="n">
        <f aca="false">COUNTIFS(04_KALKULASI!$D$9:$D$72,$A24)</f>
        <v>3</v>
      </c>
      <c r="C24" s="63" t="n">
        <f aca="false">SUMIFS(04_KALKULASI!$C$9:$C$72,04_KALKULASI!$D$9:$D$72,$A24)</f>
        <v>3600</v>
      </c>
      <c r="D24" s="63" t="n">
        <f aca="false">IFERROR(SUMPRODUCT((04_KALKULASI!$D$9:$D$72=$A24)*04_KALKULASI!$C$9:$C$72*04_KALKULASI!$S$9:$S$72)/$C24,0)</f>
        <v>198166.666666667</v>
      </c>
      <c r="E24" s="71" t="n">
        <f aca="false">IFERROR(AVERAGEIFS(04_KALKULASI!$G$9:$G$72,04_KALKULASI!$D$9:$D$72,$A24),0)</f>
        <v>1.1315</v>
      </c>
    </row>
    <row r="25" customFormat="false" ht="15" hidden="false" customHeight="false" outlineLevel="0" collapsed="false">
      <c r="A25" s="12" t="s">
        <v>519</v>
      </c>
    </row>
    <row r="27" customFormat="false" ht="15" hidden="false" customHeight="false" outlineLevel="0" collapsed="false">
      <c r="A27" s="7" t="s">
        <v>520</v>
      </c>
      <c r="B27" s="8"/>
      <c r="C27" s="8"/>
      <c r="D27" s="8"/>
      <c r="E27" s="8"/>
      <c r="F27" s="8"/>
    </row>
    <row r="28" customFormat="false" ht="31.5" hidden="false" customHeight="true" outlineLevel="0" collapsed="false">
      <c r="A28" s="25" t="s">
        <v>521</v>
      </c>
      <c r="B28" s="25" t="s">
        <v>522</v>
      </c>
      <c r="C28" s="25" t="s">
        <v>523</v>
      </c>
      <c r="D28" s="25" t="s">
        <v>524</v>
      </c>
      <c r="E28" s="25"/>
      <c r="F28" s="25" t="s">
        <v>525</v>
      </c>
    </row>
    <row r="29" customFormat="false" ht="15" hidden="false" customHeight="false" outlineLevel="0" collapsed="false">
      <c r="A29" s="72" t="s">
        <v>526</v>
      </c>
      <c r="B29" s="73" t="n">
        <f aca="false">IFERROR(ABS($B$8-$B$7)/$B$7,1)</f>
        <v>0.000173142769790802</v>
      </c>
      <c r="C29" s="74" t="n">
        <f aca="false">01_ASUMSI!$B$76</f>
        <v>0.005</v>
      </c>
      <c r="D29" s="75" t="str">
        <f aca="false">IF($B29&lt;=$C29,"LULUS","PERIKSA")</f>
        <v>LULUS</v>
      </c>
      <c r="F29" s="12" t="s">
        <v>527</v>
      </c>
    </row>
    <row r="30" customFormat="false" ht="15" hidden="false" customHeight="false" outlineLevel="0" collapsed="false">
      <c r="A30" s="72" t="s">
        <v>528</v>
      </c>
      <c r="B30" s="71" t="n">
        <f aca="false">MIN(04_KALKULASI!$N$9:$N$72)</f>
        <v>0.922067876758566</v>
      </c>
      <c r="C30" s="76" t="n">
        <f aca="false">01_ASUMSI!$B$31</f>
        <v>0.8</v>
      </c>
      <c r="D30" s="75" t="str">
        <f aca="false">IF($B30&gt;=$C30,"LULUS","PERIKSA")</f>
        <v>LULUS</v>
      </c>
      <c r="F30" s="12" t="s">
        <v>529</v>
      </c>
    </row>
    <row r="31" customFormat="false" ht="15" hidden="false" customHeight="false" outlineLevel="0" collapsed="false">
      <c r="A31" s="72" t="s">
        <v>530</v>
      </c>
      <c r="B31" s="71" t="n">
        <f aca="false">MAX(04_KALKULASI!$N$9:$N$72)</f>
        <v>1.24306645126915</v>
      </c>
      <c r="C31" s="76" t="n">
        <f aca="false">01_ASUMSI!$B$32</f>
        <v>1.35</v>
      </c>
      <c r="D31" s="75" t="str">
        <f aca="false">IF($B31&lt;=$C31,"LULUS","PERIKSA")</f>
        <v>LULUS</v>
      </c>
      <c r="F31" s="12" t="s">
        <v>531</v>
      </c>
    </row>
    <row r="32" customFormat="false" ht="15" hidden="false" customHeight="false" outlineLevel="0" collapsed="false">
      <c r="A32" s="72" t="s">
        <v>532</v>
      </c>
      <c r="B32" s="63" t="n">
        <f aca="false">06_UJI_KELAYAKAN!$C$28</f>
        <v>185515.721556035</v>
      </c>
      <c r="C32" s="77" t="n">
        <f aca="false">06_UJI_KELAYAKAN!$C$18*01_ASUMSI!$B$27</f>
        <v>146825.396825397</v>
      </c>
      <c r="D32" s="75" t="str">
        <f aca="false">IF($B32&gt;=$C32,"LULUS","PERIKSA")</f>
        <v>LULUS</v>
      </c>
      <c r="F32" s="12" t="s">
        <v>533</v>
      </c>
    </row>
    <row r="33" customFormat="false" ht="15" hidden="false" customHeight="false" outlineLevel="0" collapsed="false">
      <c r="A33" s="72" t="s">
        <v>534</v>
      </c>
      <c r="B33" s="63" t="n">
        <f aca="false">06_UJI_KELAYAKAN!$C$28</f>
        <v>185515.721556035</v>
      </c>
      <c r="C33" s="77" t="n">
        <f aca="false">06_UJI_KELAYAKAN!$C$24</f>
        <v>157688.36332263</v>
      </c>
      <c r="D33" s="75" t="str">
        <f aca="false">IF($B33&gt;=$C33,"LULUS","PERIKSA")</f>
        <v>LULUS</v>
      </c>
      <c r="F33" s="12" t="s">
        <v>535</v>
      </c>
    </row>
    <row r="34" customFormat="false" ht="15" hidden="false" customHeight="false" outlineLevel="0" collapsed="false">
      <c r="A34" s="72" t="s">
        <v>536</v>
      </c>
      <c r="B34" s="63" t="n">
        <f aca="false">06_UJI_KELAYAKAN!$C$28</f>
        <v>185515.721556035</v>
      </c>
      <c r="C34" s="77" t="n">
        <f aca="false">06_UJI_KELAYAKAN!$C$25</f>
        <v>252720</v>
      </c>
      <c r="D34" s="75" t="str">
        <f aca="false">IF($B34&lt;=$C34,"LULUS","PERIKSA")</f>
        <v>LULUS</v>
      </c>
      <c r="F34" s="12" t="s">
        <v>537</v>
      </c>
    </row>
    <row r="35" customFormat="false" ht="15" hidden="false" customHeight="false" outlineLevel="0" collapsed="false">
      <c r="A35" s="72" t="s">
        <v>538</v>
      </c>
      <c r="B35" s="64" t="n">
        <f aca="false">05_PEMBANDING!$D$15</f>
        <v>0.0175478025078944</v>
      </c>
      <c r="C35" s="78" t="n">
        <f aca="false">01_ASUMSI!$B$77</f>
        <v>0.15</v>
      </c>
      <c r="D35" s="75" t="str">
        <f aca="false">IF($B35&lt;=$C35,"LULUS","PERIKSA")</f>
        <v>LULUS</v>
      </c>
      <c r="F35" s="12" t="s">
        <v>539</v>
      </c>
    </row>
    <row r="36" customFormat="false" ht="15" hidden="false" customHeight="false" outlineLevel="0" collapsed="false">
      <c r="A36" s="72" t="s">
        <v>540</v>
      </c>
      <c r="B36" s="64" t="n">
        <f aca="false">05_PEMBANDING!$D$16</f>
        <v>0.24</v>
      </c>
      <c r="C36" s="78" t="n">
        <f aca="false">01_ASUMSI!$B$78</f>
        <v>0.25</v>
      </c>
      <c r="D36" s="75" t="str">
        <f aca="false">IF($B36&lt;=$C36,"LULUS","PERIKSA")</f>
        <v>LULUS</v>
      </c>
      <c r="F36" s="12" t="s">
        <v>541</v>
      </c>
    </row>
    <row r="37" customFormat="false" ht="15" hidden="false" customHeight="false" outlineLevel="0" collapsed="false">
      <c r="A37" s="72" t="s">
        <v>542</v>
      </c>
      <c r="B37" s="65" t="n">
        <f aca="false">SUMPRODUCT((02_MASTER_UNIT!$C$5:$C$68="")*1)+SUMPRODUCT((02_MASTER_UNIT!$D$5:$D$68="")*1)+SUMPRODUCT((02_MASTER_UNIT!$E$5:$E$68="")*1)</f>
        <v>0</v>
      </c>
      <c r="C37" s="79" t="n">
        <f aca="false">0</f>
        <v>0</v>
      </c>
      <c r="D37" s="75" t="str">
        <f aca="false">IF($B37&lt;=$C37,"LULUS","PERIKSA")</f>
        <v>LULUS</v>
      </c>
      <c r="F37" s="12" t="s">
        <v>543</v>
      </c>
    </row>
    <row r="39" customFormat="false" ht="15" hidden="false" customHeight="false" outlineLevel="0" collapsed="false">
      <c r="A39" s="4" t="s">
        <v>544</v>
      </c>
      <c r="D39" s="57" t="str">
        <f aca="false">IF(AND($D24&gt;=$D23,$D23&gt;=$D22),"LULUS","PERIKSA")</f>
        <v>LULUS</v>
      </c>
      <c r="F39" s="12" t="s">
        <v>545</v>
      </c>
    </row>
    <row r="40" customFormat="false" ht="15" hidden="false" customHeight="false" outlineLevel="0" collapsed="false">
      <c r="A40" s="4" t="s">
        <v>546</v>
      </c>
      <c r="D40" s="57" t="str">
        <f aca="false">IF(AND($B$10&gt;=01_ASUMSI!$B$80,$B$10&lt;=01_ASUMSI!$B$81),"LULUS","PERIKSA")</f>
        <v>LULUS</v>
      </c>
    </row>
    <row r="41" customFormat="false" ht="15" hidden="false" customHeight="false" outlineLevel="0" collapsed="false">
      <c r="A41" s="4" t="s">
        <v>547</v>
      </c>
      <c r="B41" s="46" t="n">
        <f aca="false">IFERROR(01_ASUMSI!$B$69/($B$7*01_ASUMSI!$B$70),0)</f>
        <v>0.314438759389531</v>
      </c>
      <c r="C41" s="46" t="n">
        <f aca="false">03_FAKTOR!$B$32</f>
        <v>0.12</v>
      </c>
      <c r="D41" s="57" t="str">
        <f aca="false">IF($C41&gt;=$B41,"LULUS","PERIKSA")</f>
        <v>PERIKSA</v>
      </c>
      <c r="F41" s="12" t="s">
        <v>548</v>
      </c>
    </row>
    <row r="43" customFormat="false" ht="15" hidden="false" customHeight="false" outlineLevel="0" collapsed="false">
      <c r="A43" s="4" t="s">
        <v>549</v>
      </c>
      <c r="B43" s="80" t="str">
        <f aca="false">COUNTIF($D$29:$D$37,"LULUS")&amp;" dari 9"</f>
        <v>9 dari 9</v>
      </c>
    </row>
    <row r="44" customFormat="false" ht="15" hidden="false" customHeight="false" outlineLevel="0" collapsed="false">
      <c r="A44" s="29" t="s">
        <v>550</v>
      </c>
    </row>
    <row r="46" customFormat="false" ht="15" hidden="false" customHeight="false" outlineLevel="0" collapsed="false">
      <c r="A46" s="7" t="s">
        <v>551</v>
      </c>
      <c r="B46" s="8"/>
      <c r="C46" s="8"/>
      <c r="D46" s="8"/>
      <c r="E46" s="8"/>
      <c r="F46" s="8"/>
    </row>
    <row r="47" customFormat="false" ht="15" hidden="false" customHeight="false" outlineLevel="0" collapsed="false">
      <c r="A47" s="10" t="s">
        <v>552</v>
      </c>
      <c r="B47" s="17" t="s">
        <v>553</v>
      </c>
      <c r="F47" s="12" t="s">
        <v>554</v>
      </c>
    </row>
    <row r="48" customFormat="false" ht="15" hidden="false" customHeight="false" outlineLevel="0" collapsed="false">
      <c r="A48" s="10" t="s">
        <v>555</v>
      </c>
      <c r="B48" s="11" t="s">
        <v>556</v>
      </c>
    </row>
    <row r="49" customFormat="false" ht="15" hidden="false" customHeight="false" outlineLevel="0" collapsed="false">
      <c r="A49" s="10" t="s">
        <v>557</v>
      </c>
      <c r="B49" s="11" t="s">
        <v>558</v>
      </c>
      <c r="F49" s="12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560</v>
      </c>
      <c r="B1" s="2"/>
      <c r="C1" s="2"/>
      <c r="D1" s="2"/>
      <c r="E1" s="2"/>
    </row>
    <row r="3" customFormat="false" ht="31.5" hidden="false" customHeight="true" outlineLevel="0" collapsed="false">
      <c r="A3" s="25" t="s">
        <v>561</v>
      </c>
      <c r="B3" s="25" t="s">
        <v>562</v>
      </c>
      <c r="C3" s="25" t="s">
        <v>563</v>
      </c>
      <c r="D3" s="25" t="s">
        <v>564</v>
      </c>
      <c r="E3" s="25" t="s">
        <v>565</v>
      </c>
    </row>
    <row r="4" customFormat="false" ht="15" hidden="false" customHeight="false" outlineLevel="0" collapsed="false">
      <c r="A4" s="81" t="s">
        <v>35</v>
      </c>
      <c r="B4" s="81" t="s">
        <v>566</v>
      </c>
      <c r="C4" s="81" t="s">
        <v>567</v>
      </c>
      <c r="D4" s="82" t="s">
        <v>568</v>
      </c>
      <c r="E4" s="81" t="s">
        <v>569</v>
      </c>
    </row>
    <row r="5" customFormat="false" ht="15" hidden="false" customHeight="false" outlineLevel="0" collapsed="false">
      <c r="A5" s="81" t="s">
        <v>35</v>
      </c>
      <c r="B5" s="81" t="s">
        <v>343</v>
      </c>
      <c r="C5" s="81" t="s">
        <v>567</v>
      </c>
      <c r="D5" s="82" t="s">
        <v>570</v>
      </c>
      <c r="E5" s="81" t="s">
        <v>569</v>
      </c>
    </row>
    <row r="6" customFormat="false" ht="15" hidden="false" customHeight="false" outlineLevel="0" collapsed="false">
      <c r="A6" s="81" t="s">
        <v>35</v>
      </c>
      <c r="B6" s="81" t="s">
        <v>344</v>
      </c>
      <c r="C6" s="81" t="s">
        <v>571</v>
      </c>
      <c r="D6" s="82" t="s">
        <v>572</v>
      </c>
      <c r="E6" s="81" t="s">
        <v>569</v>
      </c>
    </row>
    <row r="7" customFormat="false" ht="15" hidden="false" customHeight="false" outlineLevel="0" collapsed="false">
      <c r="A7" s="81" t="s">
        <v>35</v>
      </c>
      <c r="B7" s="81" t="s">
        <v>573</v>
      </c>
      <c r="C7" s="81" t="s">
        <v>574</v>
      </c>
      <c r="D7" s="82" t="s">
        <v>575</v>
      </c>
      <c r="E7" s="81" t="s">
        <v>569</v>
      </c>
    </row>
    <row r="8" customFormat="false" ht="15" hidden="false" customHeight="false" outlineLevel="0" collapsed="false">
      <c r="A8" s="81" t="s">
        <v>35</v>
      </c>
      <c r="B8" s="81" t="s">
        <v>576</v>
      </c>
      <c r="C8" s="81" t="s">
        <v>567</v>
      </c>
      <c r="D8" s="82" t="s">
        <v>577</v>
      </c>
      <c r="E8" s="81" t="s">
        <v>569</v>
      </c>
    </row>
    <row r="9" customFormat="false" ht="15" hidden="false" customHeight="false" outlineLevel="0" collapsed="false">
      <c r="A9" s="81" t="s">
        <v>35</v>
      </c>
      <c r="B9" s="81" t="s">
        <v>578</v>
      </c>
      <c r="C9" s="81" t="s">
        <v>567</v>
      </c>
      <c r="D9" s="82" t="s">
        <v>579</v>
      </c>
      <c r="E9" s="81" t="s">
        <v>569</v>
      </c>
    </row>
    <row r="10" customFormat="false" ht="15" hidden="false" customHeight="false" outlineLevel="0" collapsed="false">
      <c r="A10" s="81" t="s">
        <v>35</v>
      </c>
      <c r="B10" s="81" t="s">
        <v>580</v>
      </c>
      <c r="C10" s="81" t="s">
        <v>567</v>
      </c>
      <c r="D10" s="82" t="s">
        <v>581</v>
      </c>
      <c r="E10" s="81" t="s">
        <v>569</v>
      </c>
    </row>
    <row r="11" customFormat="false" ht="15" hidden="false" customHeight="false" outlineLevel="0" collapsed="false">
      <c r="A11" s="81" t="s">
        <v>35</v>
      </c>
      <c r="B11" s="81" t="s">
        <v>582</v>
      </c>
      <c r="C11" s="81" t="s">
        <v>567</v>
      </c>
      <c r="D11" s="82" t="s">
        <v>583</v>
      </c>
      <c r="E11" s="81" t="s">
        <v>569</v>
      </c>
    </row>
    <row r="12" customFormat="false" ht="15" hidden="false" customHeight="false" outlineLevel="0" collapsed="false">
      <c r="A12" s="81" t="s">
        <v>35</v>
      </c>
      <c r="B12" s="81" t="s">
        <v>186</v>
      </c>
      <c r="C12" s="81" t="s">
        <v>567</v>
      </c>
      <c r="D12" s="82" t="s">
        <v>584</v>
      </c>
      <c r="E12" s="81" t="s">
        <v>585</v>
      </c>
    </row>
    <row r="13" customFormat="false" ht="15" hidden="false" customHeight="false" outlineLevel="0" collapsed="false">
      <c r="A13" s="81" t="s">
        <v>35</v>
      </c>
      <c r="B13" s="81" t="s">
        <v>187</v>
      </c>
      <c r="C13" s="81" t="s">
        <v>567</v>
      </c>
      <c r="D13" s="82" t="s">
        <v>586</v>
      </c>
      <c r="E13" s="81" t="s">
        <v>585</v>
      </c>
    </row>
    <row r="14" customFormat="false" ht="15" hidden="false" customHeight="false" outlineLevel="0" collapsed="false">
      <c r="A14" s="81" t="s">
        <v>39</v>
      </c>
      <c r="B14" s="81" t="s">
        <v>346</v>
      </c>
      <c r="C14" s="81" t="s">
        <v>567</v>
      </c>
      <c r="D14" s="82" t="s">
        <v>587</v>
      </c>
      <c r="E14" s="81" t="s">
        <v>588</v>
      </c>
    </row>
    <row r="15" customFormat="false" ht="15" hidden="false" customHeight="false" outlineLevel="0" collapsed="false">
      <c r="A15" s="81" t="s">
        <v>39</v>
      </c>
      <c r="B15" s="81" t="s">
        <v>349</v>
      </c>
      <c r="C15" s="81" t="s">
        <v>589</v>
      </c>
      <c r="D15" s="82" t="s">
        <v>590</v>
      </c>
      <c r="E15" s="81" t="s">
        <v>588</v>
      </c>
    </row>
    <row r="16" customFormat="false" ht="22.35" hidden="false" customHeight="false" outlineLevel="0" collapsed="false">
      <c r="A16" s="81" t="s">
        <v>39</v>
      </c>
      <c r="B16" s="81" t="s">
        <v>351</v>
      </c>
      <c r="C16" s="81" t="s">
        <v>589</v>
      </c>
      <c r="D16" s="82" t="s">
        <v>591</v>
      </c>
      <c r="E16" s="81" t="s">
        <v>588</v>
      </c>
    </row>
    <row r="17" customFormat="false" ht="15" hidden="false" customHeight="false" outlineLevel="0" collapsed="false">
      <c r="A17" s="81" t="s">
        <v>39</v>
      </c>
      <c r="B17" s="81" t="s">
        <v>356</v>
      </c>
      <c r="C17" s="81" t="s">
        <v>589</v>
      </c>
      <c r="D17" s="82" t="s">
        <v>592</v>
      </c>
      <c r="E17" s="81" t="s">
        <v>588</v>
      </c>
    </row>
    <row r="18" customFormat="false" ht="15" hidden="false" customHeight="false" outlineLevel="0" collapsed="false">
      <c r="A18" s="81" t="s">
        <v>39</v>
      </c>
      <c r="B18" s="81" t="s">
        <v>357</v>
      </c>
      <c r="C18" s="81" t="s">
        <v>589</v>
      </c>
      <c r="D18" s="82" t="s">
        <v>593</v>
      </c>
      <c r="E18" s="81" t="s">
        <v>588</v>
      </c>
    </row>
    <row r="19" customFormat="false" ht="15" hidden="false" customHeight="false" outlineLevel="0" collapsed="false">
      <c r="A19" s="81" t="s">
        <v>39</v>
      </c>
      <c r="B19" s="81" t="s">
        <v>594</v>
      </c>
      <c r="C19" s="81" t="s">
        <v>595</v>
      </c>
      <c r="D19" s="82" t="s">
        <v>596</v>
      </c>
      <c r="E19" s="81" t="s">
        <v>588</v>
      </c>
    </row>
    <row r="20" customFormat="false" ht="15" hidden="false" customHeight="false" outlineLevel="0" collapsed="false">
      <c r="A20" s="81" t="s">
        <v>39</v>
      </c>
      <c r="B20" s="81" t="s">
        <v>597</v>
      </c>
      <c r="C20" s="81" t="s">
        <v>595</v>
      </c>
      <c r="D20" s="82" t="s">
        <v>598</v>
      </c>
      <c r="E20" s="81" t="s">
        <v>588</v>
      </c>
    </row>
    <row r="21" customFormat="false" ht="15" hidden="false" customHeight="false" outlineLevel="0" collapsed="false">
      <c r="A21" s="81" t="s">
        <v>39</v>
      </c>
      <c r="B21" s="81" t="s">
        <v>454</v>
      </c>
      <c r="C21" s="81" t="s">
        <v>595</v>
      </c>
      <c r="D21" s="82" t="s">
        <v>599</v>
      </c>
      <c r="E21" s="81" t="s">
        <v>588</v>
      </c>
    </row>
    <row r="22" customFormat="false" ht="15" hidden="false" customHeight="false" outlineLevel="0" collapsed="false">
      <c r="A22" s="81" t="s">
        <v>39</v>
      </c>
      <c r="B22" s="81" t="s">
        <v>496</v>
      </c>
      <c r="C22" s="81" t="s">
        <v>595</v>
      </c>
      <c r="D22" s="82" t="s">
        <v>600</v>
      </c>
      <c r="E22" s="81" t="s">
        <v>588</v>
      </c>
    </row>
    <row r="23" customFormat="false" ht="15" hidden="false" customHeight="false" outlineLevel="0" collapsed="false">
      <c r="A23" s="81" t="s">
        <v>39</v>
      </c>
      <c r="B23" s="81" t="s">
        <v>368</v>
      </c>
      <c r="C23" s="81" t="s">
        <v>601</v>
      </c>
      <c r="D23" s="82" t="s">
        <v>602</v>
      </c>
      <c r="E23" s="81" t="s">
        <v>588</v>
      </c>
    </row>
    <row r="24" customFormat="false" ht="15" hidden="false" customHeight="false" outlineLevel="0" collapsed="false">
      <c r="A24" s="81" t="s">
        <v>41</v>
      </c>
      <c r="B24" s="81" t="s">
        <v>603</v>
      </c>
      <c r="C24" s="81" t="s">
        <v>604</v>
      </c>
      <c r="D24" s="82" t="s">
        <v>605</v>
      </c>
      <c r="E24" s="81" t="s">
        <v>569</v>
      </c>
    </row>
    <row r="25" customFormat="false" ht="15" hidden="false" customHeight="false" outlineLevel="0" collapsed="false">
      <c r="A25" s="81" t="s">
        <v>41</v>
      </c>
      <c r="B25" s="81" t="s">
        <v>385</v>
      </c>
      <c r="C25" s="81" t="s">
        <v>604</v>
      </c>
      <c r="D25" s="82" t="s">
        <v>606</v>
      </c>
      <c r="E25" s="81" t="s">
        <v>588</v>
      </c>
    </row>
    <row r="26" customFormat="false" ht="22.35" hidden="false" customHeight="false" outlineLevel="0" collapsed="false">
      <c r="A26" s="81" t="s">
        <v>41</v>
      </c>
      <c r="B26" s="81" t="s">
        <v>387</v>
      </c>
      <c r="C26" s="81" t="s">
        <v>604</v>
      </c>
      <c r="D26" s="82" t="s">
        <v>607</v>
      </c>
      <c r="E26" s="81" t="s">
        <v>588</v>
      </c>
    </row>
    <row r="27" customFormat="false" ht="15" hidden="false" customHeight="false" outlineLevel="0" collapsed="false">
      <c r="A27" s="81" t="s">
        <v>45</v>
      </c>
      <c r="B27" s="81" t="s">
        <v>608</v>
      </c>
      <c r="C27" s="81" t="s">
        <v>595</v>
      </c>
      <c r="D27" s="82" t="s">
        <v>609</v>
      </c>
      <c r="E27" s="81" t="s">
        <v>588</v>
      </c>
    </row>
    <row r="28" customFormat="false" ht="15" hidden="false" customHeight="false" outlineLevel="0" collapsed="false">
      <c r="A28" s="81" t="s">
        <v>45</v>
      </c>
      <c r="B28" s="81" t="s">
        <v>461</v>
      </c>
      <c r="C28" s="81" t="s">
        <v>610</v>
      </c>
      <c r="D28" s="82" t="s">
        <v>611</v>
      </c>
      <c r="E28" s="81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78"/>
  </cols>
  <sheetData>
    <row r="1" customFormat="false" ht="24" hidden="false" customHeight="true" outlineLevel="0" collapsed="false">
      <c r="A1" s="1" t="s">
        <v>612</v>
      </c>
      <c r="B1" s="2"/>
      <c r="C1" s="2"/>
      <c r="D1" s="2"/>
    </row>
    <row r="2" customFormat="false" ht="15" hidden="false" customHeight="false" outlineLevel="0" collapsed="false">
      <c r="A2" s="9" t="s">
        <v>613</v>
      </c>
    </row>
    <row r="4" customFormat="false" ht="15" hidden="false" customHeight="false" outlineLevel="0" collapsed="false">
      <c r="A4" s="7" t="s">
        <v>614</v>
      </c>
      <c r="B4" s="8"/>
      <c r="C4" s="8"/>
      <c r="D4" s="8"/>
    </row>
    <row r="5" customFormat="false" ht="31.5" hidden="false" customHeight="true" outlineLevel="0" collapsed="false">
      <c r="A5" s="25" t="s">
        <v>615</v>
      </c>
      <c r="B5" s="25" t="s">
        <v>616</v>
      </c>
      <c r="C5" s="25" t="s">
        <v>617</v>
      </c>
      <c r="D5" s="25" t="s">
        <v>618</v>
      </c>
    </row>
    <row r="6" customFormat="false" ht="27.75" hidden="false" customHeight="true" outlineLevel="0" collapsed="false">
      <c r="A6" s="72" t="n">
        <v>1</v>
      </c>
      <c r="B6" s="83" t="s">
        <v>619</v>
      </c>
      <c r="C6" s="83" t="s">
        <v>620</v>
      </c>
      <c r="D6" s="84" t="s">
        <v>621</v>
      </c>
    </row>
    <row r="7" customFormat="false" ht="27.75" hidden="false" customHeight="true" outlineLevel="0" collapsed="false">
      <c r="A7" s="72" t="n">
        <v>2</v>
      </c>
      <c r="B7" s="83" t="s">
        <v>622</v>
      </c>
      <c r="C7" s="83" t="s">
        <v>623</v>
      </c>
      <c r="D7" s="84" t="s">
        <v>624</v>
      </c>
    </row>
    <row r="8" customFormat="false" ht="27.75" hidden="false" customHeight="true" outlineLevel="0" collapsed="false">
      <c r="A8" s="72" t="n">
        <v>3</v>
      </c>
      <c r="B8" s="83" t="s">
        <v>625</v>
      </c>
      <c r="C8" s="83" t="s">
        <v>626</v>
      </c>
      <c r="D8" s="84" t="s">
        <v>627</v>
      </c>
    </row>
    <row r="9" customFormat="false" ht="27.75" hidden="false" customHeight="true" outlineLevel="0" collapsed="false">
      <c r="A9" s="72" t="n">
        <v>4</v>
      </c>
      <c r="B9" s="83" t="s">
        <v>628</v>
      </c>
      <c r="C9" s="83" t="s">
        <v>629</v>
      </c>
      <c r="D9" s="84" t="s">
        <v>630</v>
      </c>
    </row>
    <row r="10" customFormat="false" ht="27.75" hidden="false" customHeight="true" outlineLevel="0" collapsed="false">
      <c r="A10" s="72" t="n">
        <v>5</v>
      </c>
      <c r="B10" s="83" t="s">
        <v>631</v>
      </c>
      <c r="C10" s="83" t="s">
        <v>632</v>
      </c>
      <c r="D10" s="84" t="s">
        <v>633</v>
      </c>
    </row>
    <row r="11" customFormat="false" ht="27.75" hidden="false" customHeight="true" outlineLevel="0" collapsed="false">
      <c r="A11" s="72" t="n">
        <v>6</v>
      </c>
      <c r="B11" s="83" t="s">
        <v>634</v>
      </c>
      <c r="C11" s="83" t="s">
        <v>635</v>
      </c>
      <c r="D11" s="84" t="s">
        <v>636</v>
      </c>
    </row>
    <row r="12" customFormat="false" ht="27.75" hidden="false" customHeight="true" outlineLevel="0" collapsed="false">
      <c r="A12" s="72" t="n">
        <v>7</v>
      </c>
      <c r="B12" s="83" t="s">
        <v>637</v>
      </c>
      <c r="C12" s="83" t="s">
        <v>638</v>
      </c>
      <c r="D12" s="84" t="s">
        <v>639</v>
      </c>
    </row>
    <row r="14" customFormat="false" ht="15" hidden="false" customHeight="false" outlineLevel="0" collapsed="false">
      <c r="A14" s="7" t="s">
        <v>640</v>
      </c>
      <c r="B14" s="8"/>
      <c r="C14" s="8"/>
      <c r="D14" s="8"/>
    </row>
    <row r="15" customFormat="false" ht="31.5" hidden="false" customHeight="true" outlineLevel="0" collapsed="false">
      <c r="A15" s="25" t="s">
        <v>615</v>
      </c>
      <c r="B15" s="25" t="s">
        <v>616</v>
      </c>
      <c r="C15" s="25" t="s">
        <v>617</v>
      </c>
      <c r="D15" s="25" t="s">
        <v>618</v>
      </c>
    </row>
    <row r="16" customFormat="false" ht="27.75" hidden="false" customHeight="true" outlineLevel="0" collapsed="false">
      <c r="A16" s="72" t="n">
        <v>8</v>
      </c>
      <c r="B16" s="83" t="s">
        <v>641</v>
      </c>
      <c r="C16" s="83" t="s">
        <v>642</v>
      </c>
      <c r="D16" s="84" t="s">
        <v>643</v>
      </c>
    </row>
    <row r="17" customFormat="false" ht="27.75" hidden="false" customHeight="true" outlineLevel="0" collapsed="false">
      <c r="A17" s="72" t="n">
        <v>9</v>
      </c>
      <c r="B17" s="83" t="s">
        <v>644</v>
      </c>
      <c r="C17" s="83" t="s">
        <v>645</v>
      </c>
      <c r="D17" s="84" t="s">
        <v>646</v>
      </c>
    </row>
    <row r="18" customFormat="false" ht="27.75" hidden="false" customHeight="true" outlineLevel="0" collapsed="false">
      <c r="A18" s="72" t="n">
        <v>10</v>
      </c>
      <c r="B18" s="83" t="s">
        <v>647</v>
      </c>
      <c r="C18" s="83" t="s">
        <v>648</v>
      </c>
      <c r="D18" s="84" t="s">
        <v>649</v>
      </c>
    </row>
    <row r="19" customFormat="false" ht="27.75" hidden="false" customHeight="true" outlineLevel="0" collapsed="false">
      <c r="A19" s="72" t="n">
        <v>11</v>
      </c>
      <c r="B19" s="83" t="s">
        <v>650</v>
      </c>
      <c r="C19" s="83" t="s">
        <v>651</v>
      </c>
      <c r="D19" s="84" t="s">
        <v>652</v>
      </c>
    </row>
    <row r="20" customFormat="false" ht="27.75" hidden="false" customHeight="true" outlineLevel="0" collapsed="false">
      <c r="A20" s="72" t="n">
        <v>12</v>
      </c>
      <c r="B20" s="83" t="s">
        <v>653</v>
      </c>
      <c r="C20" s="83" t="s">
        <v>654</v>
      </c>
      <c r="D20" s="84" t="s">
        <v>655</v>
      </c>
    </row>
    <row r="21" customFormat="false" ht="27.75" hidden="false" customHeight="true" outlineLevel="0" collapsed="false">
      <c r="A21" s="72" t="n">
        <v>13</v>
      </c>
      <c r="B21" s="83" t="s">
        <v>656</v>
      </c>
      <c r="C21" s="83" t="s">
        <v>657</v>
      </c>
      <c r="D21" s="84" t="s">
        <v>658</v>
      </c>
    </row>
    <row r="23" customFormat="false" ht="15" hidden="false" customHeight="false" outlineLevel="0" collapsed="false">
      <c r="A23" s="7" t="s">
        <v>659</v>
      </c>
      <c r="B23" s="8"/>
      <c r="C23" s="8"/>
      <c r="D23" s="8"/>
    </row>
    <row r="24" customFormat="false" ht="31.5" hidden="false" customHeight="true" outlineLevel="0" collapsed="false">
      <c r="A24" s="25" t="s">
        <v>615</v>
      </c>
      <c r="B24" s="25" t="s">
        <v>616</v>
      </c>
      <c r="C24" s="25" t="s">
        <v>617</v>
      </c>
      <c r="D24" s="25" t="s">
        <v>618</v>
      </c>
    </row>
    <row r="25" customFormat="false" ht="27.75" hidden="false" customHeight="true" outlineLevel="0" collapsed="false">
      <c r="A25" s="72" t="n">
        <v>14</v>
      </c>
      <c r="B25" s="83" t="s">
        <v>660</v>
      </c>
      <c r="C25" s="83" t="s">
        <v>661</v>
      </c>
      <c r="D25" s="84" t="s">
        <v>662</v>
      </c>
    </row>
    <row r="26" customFormat="false" ht="27.75" hidden="false" customHeight="true" outlineLevel="0" collapsed="false">
      <c r="A26" s="72" t="n">
        <v>15</v>
      </c>
      <c r="B26" s="83" t="s">
        <v>663</v>
      </c>
      <c r="C26" s="83" t="s">
        <v>664</v>
      </c>
      <c r="D26" s="84" t="s">
        <v>665</v>
      </c>
    </row>
    <row r="27" customFormat="false" ht="27.75" hidden="false" customHeight="true" outlineLevel="0" collapsed="false">
      <c r="A27" s="72" t="n">
        <v>16</v>
      </c>
      <c r="B27" s="83" t="s">
        <v>666</v>
      </c>
      <c r="C27" s="83" t="s">
        <v>667</v>
      </c>
      <c r="D27" s="84" t="s">
        <v>668</v>
      </c>
    </row>
    <row r="28" customFormat="false" ht="27.75" hidden="false" customHeight="true" outlineLevel="0" collapsed="false">
      <c r="A28" s="72" t="n">
        <v>17</v>
      </c>
      <c r="B28" s="83" t="s">
        <v>669</v>
      </c>
      <c r="C28" s="83" t="s">
        <v>670</v>
      </c>
      <c r="D28" s="84" t="s">
        <v>671</v>
      </c>
    </row>
    <row r="29" customFormat="false" ht="27.75" hidden="false" customHeight="true" outlineLevel="0" collapsed="false">
      <c r="A29" s="72" t="n">
        <v>18</v>
      </c>
      <c r="B29" s="83" t="s">
        <v>672</v>
      </c>
      <c r="C29" s="83" t="s">
        <v>673</v>
      </c>
      <c r="D29" s="84" t="s">
        <v>674</v>
      </c>
    </row>
    <row r="30" customFormat="false" ht="27.75" hidden="false" customHeight="true" outlineLevel="0" collapsed="false">
      <c r="A30" s="72" t="n">
        <v>19</v>
      </c>
      <c r="B30" s="83" t="s">
        <v>675</v>
      </c>
      <c r="C30" s="83" t="s">
        <v>676</v>
      </c>
      <c r="D30" s="84" t="s">
        <v>677</v>
      </c>
    </row>
    <row r="32" customFormat="false" ht="15" hidden="false" customHeight="false" outlineLevel="0" collapsed="false">
      <c r="A32" s="7" t="s">
        <v>678</v>
      </c>
      <c r="B32" s="8"/>
      <c r="C32" s="8"/>
      <c r="D32" s="8"/>
    </row>
    <row r="33" customFormat="false" ht="31.5" hidden="false" customHeight="true" outlineLevel="0" collapsed="false">
      <c r="A33" s="25" t="s">
        <v>615</v>
      </c>
      <c r="B33" s="25" t="s">
        <v>616</v>
      </c>
      <c r="C33" s="25" t="s">
        <v>617</v>
      </c>
      <c r="D33" s="25" t="s">
        <v>618</v>
      </c>
    </row>
    <row r="34" customFormat="false" ht="27.75" hidden="false" customHeight="true" outlineLevel="0" collapsed="false">
      <c r="A34" s="72" t="n">
        <v>20</v>
      </c>
      <c r="B34" s="83" t="s">
        <v>679</v>
      </c>
      <c r="C34" s="83" t="s">
        <v>680</v>
      </c>
      <c r="D34" s="84" t="s">
        <v>681</v>
      </c>
    </row>
    <row r="35" customFormat="false" ht="27.75" hidden="false" customHeight="true" outlineLevel="0" collapsed="false">
      <c r="A35" s="72" t="n">
        <v>21</v>
      </c>
      <c r="B35" s="83" t="s">
        <v>682</v>
      </c>
      <c r="C35" s="83" t="s">
        <v>683</v>
      </c>
      <c r="D35" s="84" t="s">
        <v>684</v>
      </c>
    </row>
    <row r="36" customFormat="false" ht="27.75" hidden="false" customHeight="true" outlineLevel="0" collapsed="false">
      <c r="A36" s="72" t="n">
        <v>22</v>
      </c>
      <c r="B36" s="83" t="s">
        <v>685</v>
      </c>
      <c r="C36" s="83" t="s">
        <v>686</v>
      </c>
      <c r="D36" s="84" t="s">
        <v>687</v>
      </c>
    </row>
    <row r="37" customFormat="false" ht="27.75" hidden="false" customHeight="true" outlineLevel="0" collapsed="false">
      <c r="A37" s="72" t="n">
        <v>23</v>
      </c>
      <c r="B37" s="83" t="s">
        <v>688</v>
      </c>
      <c r="C37" s="83" t="s">
        <v>689</v>
      </c>
      <c r="D37" s="84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2026-08-23T09:34:06Z</dcterms:created>
  <dc:creator>openpyxl</dc:creator>
  <dc:description/>
  <dc:language>en-US</dc:language>
  <cp:lastModifiedBy/>
  <dcterms:modified xsi:type="dcterms:W3CDTF">2026-08-23T09:34:06Z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